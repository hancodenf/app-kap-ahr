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 - Questindustries\Documents\Apps\I-Assets\app-kap-ahr\public\data\"/>
    </mc:Choice>
  </mc:AlternateContent>
  <xr:revisionPtr revIDLastSave="0" documentId="13_ncr:1_{76A42BF5-E7A2-4D41-81A5-931205CD9A2E}" xr6:coauthVersionLast="47" xr6:coauthVersionMax="47" xr10:uidLastSave="{00000000-0000-0000-0000-000000000000}"/>
  <bookViews>
    <workbookView xWindow="-16320" yWindow="-12615" windowWidth="16440" windowHeight="29040" xr2:uid="{E7418996-29C8-4860-A3B7-C1D0715882DF}"/>
  </bookViews>
  <sheets>
    <sheet name="Team &amp; Schedule Lt. 2" sheetId="2" r:id="rId1"/>
    <sheet name="Team &amp; Schedule Lt. 3" sheetId="3" r:id="rId2"/>
    <sheet name="Lembar1" sheetId="1" r:id="rId3"/>
  </sheets>
  <definedNames>
    <definedName name="_xlnm._FilterDatabase" localSheetId="0" hidden="1">'Team &amp; Schedule Lt. 2'!$A$3:$K$37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1" i="2" l="1"/>
  <c r="H51" i="2"/>
  <c r="F55" i="2"/>
  <c r="A5" i="3"/>
  <c r="A6" i="3" s="1"/>
  <c r="A7" i="3" s="1"/>
  <c r="A8" i="3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I54" i="2" l="1"/>
  <c r="D41" i="2"/>
  <c r="G68" i="2"/>
  <c r="G43" i="2"/>
  <c r="G58" i="2"/>
  <c r="H43" i="2"/>
  <c r="F48" i="2"/>
  <c r="H59" i="2"/>
  <c r="G62" i="2"/>
  <c r="H62" i="2"/>
  <c r="G67" i="2"/>
  <c r="I64" i="2"/>
  <c r="I47" i="2"/>
  <c r="I61" i="2"/>
  <c r="H60" i="2"/>
  <c r="F58" i="2"/>
  <c r="H67" i="2"/>
  <c r="E61" i="2"/>
  <c r="G59" i="2"/>
  <c r="G64" i="2"/>
  <c r="H55" i="2"/>
  <c r="I52" i="2"/>
  <c r="G52" i="2"/>
  <c r="G44" i="2"/>
  <c r="G48" i="2"/>
  <c r="H52" i="2"/>
  <c r="F60" i="2"/>
  <c r="G45" i="2"/>
  <c r="G49" i="2"/>
  <c r="F56" i="2"/>
  <c r="G60" i="2"/>
  <c r="F65" i="2"/>
  <c r="H63" i="2"/>
  <c r="G41" i="2"/>
  <c r="H45" i="2"/>
  <c r="F50" i="2"/>
  <c r="F53" i="2"/>
  <c r="G56" i="2"/>
  <c r="G65" i="2"/>
  <c r="G63" i="2"/>
  <c r="F45" i="2"/>
  <c r="G42" i="2"/>
  <c r="G46" i="2"/>
  <c r="G50" i="2"/>
  <c r="G53" i="2"/>
  <c r="F57" i="2"/>
  <c r="G61" i="2"/>
  <c r="G66" i="2"/>
  <c r="H42" i="2"/>
  <c r="F47" i="2"/>
  <c r="H50" i="2"/>
  <c r="G54" i="2"/>
  <c r="G57" i="2"/>
  <c r="F62" i="2"/>
  <c r="F43" i="2"/>
  <c r="H47" i="2"/>
  <c r="F51" i="2"/>
  <c r="H54" i="2"/>
  <c r="F59" i="2"/>
  <c r="F68" i="2"/>
  <c r="F42" i="2"/>
  <c r="F41" i="2"/>
  <c r="F49" i="2"/>
  <c r="F46" i="2"/>
  <c r="F52" i="2"/>
  <c r="F54" i="2"/>
  <c r="F64" i="2"/>
  <c r="F67" i="2"/>
  <c r="F61" i="2"/>
  <c r="F63" i="2"/>
  <c r="F66" i="2"/>
  <c r="J66" i="2"/>
  <c r="I60" i="2"/>
  <c r="F44" i="2"/>
  <c r="H53" i="2"/>
  <c r="I55" i="2"/>
  <c r="H58" i="2"/>
  <c r="H68" i="2"/>
  <c r="H64" i="2"/>
  <c r="K67" i="2"/>
  <c r="I62" i="2"/>
  <c r="I48" i="2"/>
  <c r="I45" i="2"/>
  <c r="I65" i="2"/>
  <c r="I68" i="2"/>
  <c r="H44" i="2"/>
  <c r="H46" i="2"/>
  <c r="H61" i="2"/>
  <c r="I63" i="2"/>
  <c r="H66" i="2"/>
  <c r="I53" i="2"/>
  <c r="I44" i="2"/>
  <c r="I46" i="2"/>
  <c r="I56" i="2"/>
  <c r="J41" i="2"/>
  <c r="K42" i="2"/>
  <c r="E44" i="2"/>
  <c r="J49" i="2"/>
  <c r="K50" i="2"/>
  <c r="E52" i="2"/>
  <c r="J57" i="2"/>
  <c r="K58" i="2"/>
  <c r="E60" i="2"/>
  <c r="J65" i="2"/>
  <c r="K66" i="2"/>
  <c r="E68" i="2"/>
  <c r="K41" i="2"/>
  <c r="E43" i="2"/>
  <c r="J48" i="2"/>
  <c r="K49" i="2"/>
  <c r="E51" i="2"/>
  <c r="J56" i="2"/>
  <c r="K57" i="2"/>
  <c r="E59" i="2"/>
  <c r="J64" i="2"/>
  <c r="K65" i="2"/>
  <c r="E67" i="2"/>
  <c r="E42" i="2"/>
  <c r="J47" i="2"/>
  <c r="K48" i="2"/>
  <c r="E50" i="2"/>
  <c r="J55" i="2"/>
  <c r="K56" i="2"/>
  <c r="E58" i="2"/>
  <c r="J63" i="2"/>
  <c r="K64" i="2"/>
  <c r="E66" i="2"/>
  <c r="E41" i="2"/>
  <c r="J46" i="2"/>
  <c r="K47" i="2"/>
  <c r="E49" i="2"/>
  <c r="J54" i="2"/>
  <c r="K55" i="2"/>
  <c r="E57" i="2"/>
  <c r="J62" i="2"/>
  <c r="K63" i="2"/>
  <c r="E65" i="2"/>
  <c r="J45" i="2"/>
  <c r="K46" i="2"/>
  <c r="E48" i="2"/>
  <c r="J53" i="2"/>
  <c r="K54" i="2"/>
  <c r="E56" i="2"/>
  <c r="J61" i="2"/>
  <c r="K62" i="2"/>
  <c r="E64" i="2"/>
  <c r="I43" i="2"/>
  <c r="J44" i="2"/>
  <c r="K45" i="2"/>
  <c r="E47" i="2"/>
  <c r="I51" i="2"/>
  <c r="J52" i="2"/>
  <c r="K53" i="2"/>
  <c r="E55" i="2"/>
  <c r="I59" i="2"/>
  <c r="J60" i="2"/>
  <c r="K61" i="2"/>
  <c r="E63" i="2"/>
  <c r="I67" i="2"/>
  <c r="J68" i="2"/>
  <c r="H41" i="2"/>
  <c r="I42" i="2"/>
  <c r="J43" i="2"/>
  <c r="K44" i="2"/>
  <c r="E46" i="2"/>
  <c r="H49" i="2"/>
  <c r="I50" i="2"/>
  <c r="J51" i="2"/>
  <c r="K52" i="2"/>
  <c r="E54" i="2"/>
  <c r="H57" i="2"/>
  <c r="I58" i="2"/>
  <c r="J59" i="2"/>
  <c r="K60" i="2"/>
  <c r="E62" i="2"/>
  <c r="H65" i="2"/>
  <c r="I66" i="2"/>
  <c r="J67" i="2"/>
  <c r="K68" i="2"/>
  <c r="I41" i="2"/>
  <c r="J42" i="2"/>
  <c r="K43" i="2"/>
  <c r="E45" i="2"/>
  <c r="G47" i="2"/>
  <c r="H48" i="2"/>
  <c r="I49" i="2"/>
  <c r="J50" i="2"/>
  <c r="K51" i="2"/>
  <c r="E53" i="2"/>
  <c r="G55" i="2"/>
  <c r="H56" i="2"/>
  <c r="I57" i="2"/>
  <c r="J58" i="2"/>
  <c r="K59" i="2"/>
  <c r="D63" i="2"/>
  <c r="D64" i="2"/>
  <c r="D42" i="2"/>
  <c r="D44" i="2"/>
  <c r="D46" i="2"/>
  <c r="D47" i="2"/>
  <c r="D50" i="2"/>
  <c r="D53" i="2"/>
  <c r="D55" i="2"/>
  <c r="D57" i="2"/>
  <c r="D59" i="2"/>
  <c r="D62" i="2"/>
  <c r="D65" i="2"/>
  <c r="D67" i="2"/>
  <c r="D66" i="2"/>
  <c r="D68" i="2"/>
  <c r="D43" i="2"/>
  <c r="D45" i="2"/>
  <c r="D48" i="2"/>
  <c r="D49" i="2"/>
  <c r="D51" i="2"/>
  <c r="D52" i="2"/>
  <c r="D54" i="2"/>
  <c r="D56" i="2"/>
  <c r="D58" i="2"/>
  <c r="D60" i="2"/>
  <c r="D61" i="2"/>
</calcChain>
</file>

<file path=xl/sharedStrings.xml><?xml version="1.0" encoding="utf-8"?>
<sst xmlns="http://schemas.openxmlformats.org/spreadsheetml/2006/main" count="876" uniqueCount="130">
  <si>
    <t>No</t>
  </si>
  <si>
    <t>Nama Klien</t>
  </si>
  <si>
    <t>Kementerian</t>
  </si>
  <si>
    <t>Susunan Tim</t>
  </si>
  <si>
    <t>Partner</t>
  </si>
  <si>
    <t>Manager</t>
  </si>
  <si>
    <t>Supervisor</t>
  </si>
  <si>
    <t>Team Leader</t>
  </si>
  <si>
    <t>Member 1</t>
  </si>
  <si>
    <t>Member 2</t>
  </si>
  <si>
    <t>Member 3</t>
  </si>
  <si>
    <t>Member 4</t>
  </si>
  <si>
    <t>Politeknik Kesehatan Jakarta 1</t>
  </si>
  <si>
    <t>Kementerian Kesehatan</t>
  </si>
  <si>
    <t>WFA</t>
  </si>
  <si>
    <t>SWU</t>
  </si>
  <si>
    <t>FFF</t>
  </si>
  <si>
    <t>BDC</t>
  </si>
  <si>
    <t>AMR</t>
  </si>
  <si>
    <t xml:space="preserve">Politeknik Kesehatan Jakarta 2 </t>
  </si>
  <si>
    <t>AHC</t>
  </si>
  <si>
    <t>TTA</t>
  </si>
  <si>
    <t>INA</t>
  </si>
  <si>
    <t>JOI</t>
  </si>
  <si>
    <t>CVN</t>
  </si>
  <si>
    <t xml:space="preserve">Balai Pendidikan dan Pelatihan Transportasi Laut </t>
  </si>
  <si>
    <t>Kementerian Perhubungan</t>
  </si>
  <si>
    <t>MRE</t>
  </si>
  <si>
    <t>Universitas Islam Negeri Imam Bonjol Padang</t>
  </si>
  <si>
    <t>Kementerian Agama</t>
  </si>
  <si>
    <t>RAF</t>
  </si>
  <si>
    <t>MHF</t>
  </si>
  <si>
    <t>Politeknik Kesehatan Makassar</t>
  </si>
  <si>
    <t>SUH</t>
  </si>
  <si>
    <t>ZFF</t>
  </si>
  <si>
    <t>RAM</t>
  </si>
  <si>
    <t>Universitas Islam Negeri Mahmud Yunus Batusangkar</t>
  </si>
  <si>
    <t>Politeknik Penerbangan Indonesia Curug</t>
  </si>
  <si>
    <t>RAQ</t>
  </si>
  <si>
    <t>ART</t>
  </si>
  <si>
    <t>MLA</t>
  </si>
  <si>
    <t>KSG</t>
  </si>
  <si>
    <t>Politeknik Pelayaran Banten</t>
  </si>
  <si>
    <t>Politeknik Negeri Ujung Pandang</t>
  </si>
  <si>
    <t>Kementerian Pendidikan</t>
  </si>
  <si>
    <t>BPA</t>
  </si>
  <si>
    <t>AAR</t>
  </si>
  <si>
    <t>Universitas Islam Negeri Sjech M. Djamil Djambek Bukittinggi</t>
  </si>
  <si>
    <t>Politeknik Kesehatan Bandung</t>
  </si>
  <si>
    <t>Balai Inseminasi Buatan (BIB) Lembang</t>
  </si>
  <si>
    <t>Kementerian Pertanian</t>
  </si>
  <si>
    <t>YSA</t>
  </si>
  <si>
    <t>Sekolah Tinggi Ilmu Pelayaran Jakarta</t>
  </si>
  <si>
    <t xml:space="preserve">Universitas Islam Negeri Alauddin Makassar </t>
  </si>
  <si>
    <t>Universitas Islam Negeri Sutan Syarif Kasim Riau</t>
  </si>
  <si>
    <t xml:space="preserve">Politeknik Perkeretaapian Indonesia Madiun </t>
  </si>
  <si>
    <t xml:space="preserve">Universitas Islam Negeri Raden Fatah Palembang </t>
  </si>
  <si>
    <t>NIS</t>
  </si>
  <si>
    <t>Universitas Islam Negeri Palopo</t>
  </si>
  <si>
    <t>Universitas Islam Negeri Siber Syekh Nurjati Cirebon</t>
  </si>
  <si>
    <t>Politeknik Kesehatan Maluku</t>
  </si>
  <si>
    <t>Universitas Islam Negeri Maulana Malik Ibrahim Malang</t>
  </si>
  <si>
    <t xml:space="preserve">⁠Universitas Islam Negeri Yogyakarta </t>
  </si>
  <si>
    <t>SBA</t>
  </si>
  <si>
    <t>KHA</t>
  </si>
  <si>
    <t>Politeknik Kesehatan Pontianak</t>
  </si>
  <si>
    <t>Politeknik Keuangan Negara STAN</t>
  </si>
  <si>
    <t>Kementerian Keuangan</t>
  </si>
  <si>
    <t>RMS</t>
  </si>
  <si>
    <t>Politeknik Kesehatan Kalimantan Timur</t>
  </si>
  <si>
    <t>Universitas Islam Negeri Ar-Raniry Aceh</t>
  </si>
  <si>
    <t>MIA</t>
  </si>
  <si>
    <t>Politeknik Penerbangan Surabaya</t>
  </si>
  <si>
    <t>Universitas Islam Negeri K.H. Abdurrahman Wahid Pekalongan</t>
  </si>
  <si>
    <t xml:space="preserve">Politeknik Pelayaran Surabaya </t>
  </si>
  <si>
    <t>Universitas Islam Negeri Salatiga</t>
  </si>
  <si>
    <t>Politeknik Kesehatan Medan</t>
  </si>
  <si>
    <t>Universitas Islam Negeri Mataram</t>
  </si>
  <si>
    <t>Rumah Sakit Umum Daerah (RSUD) Gunung Jati Kota Cirebon</t>
  </si>
  <si>
    <t>Badan Penyelenggara Jaminan Produk Halal (BPJPH)</t>
  </si>
  <si>
    <t>Nama</t>
  </si>
  <si>
    <t>Kode</t>
  </si>
  <si>
    <t>Member</t>
  </si>
  <si>
    <t>Abdul Hamid</t>
  </si>
  <si>
    <t>Wilda Farah</t>
  </si>
  <si>
    <t>Syamsul Bahri</t>
  </si>
  <si>
    <t>Brian Pramudita</t>
  </si>
  <si>
    <t>Tumiran Tawirana</t>
  </si>
  <si>
    <t>Soliyah Wulandari</t>
  </si>
  <si>
    <t>Suhartono</t>
  </si>
  <si>
    <t>Rezky Mehta Setiadi</t>
  </si>
  <si>
    <t>Resi Ariyasa Qadri</t>
  </si>
  <si>
    <t>Yusar Sagara</t>
  </si>
  <si>
    <t>Fachriza Fayyad Fauzan</t>
  </si>
  <si>
    <t>Bayu Dwi Cahyanto</t>
  </si>
  <si>
    <t>Irma Nuranisa</t>
  </si>
  <si>
    <t>Khairunnisa</t>
  </si>
  <si>
    <t>Ananda Mohammad Rizky</t>
  </si>
  <si>
    <t>Muhammad Rifky Effendy</t>
  </si>
  <si>
    <t>Nur Isnaini</t>
  </si>
  <si>
    <t>Jeremi Octavianus Iroth</t>
  </si>
  <si>
    <t>Zuhaira Fadla Fachrina</t>
  </si>
  <si>
    <t>Ria Afrizal</t>
  </si>
  <si>
    <t>Rizka Amelia</t>
  </si>
  <si>
    <t>Ahmad Reski Tiarah</t>
  </si>
  <si>
    <t>Audy Alifia Rudy</t>
  </si>
  <si>
    <t>Muhammad Husni Faris</t>
  </si>
  <si>
    <t>Muhammad Luthfian Arif</t>
  </si>
  <si>
    <t>Cavin Valeri Nayotama</t>
  </si>
  <si>
    <t>Kievo Syah Guzman</t>
  </si>
  <si>
    <t>Mohammad Ilham Akbar</t>
  </si>
  <si>
    <t>Politeknik Kesehatan Kementerian Kesehatan Kupang</t>
  </si>
  <si>
    <t>-</t>
  </si>
  <si>
    <t>SBW</t>
  </si>
  <si>
    <t>FRA</t>
  </si>
  <si>
    <t>RPR</t>
  </si>
  <si>
    <t>Politeknik Kesehatan Kementerian Kesehatan Tanjung Karang</t>
  </si>
  <si>
    <t>MRI</t>
  </si>
  <si>
    <t>ZFJ</t>
  </si>
  <si>
    <t>Politeknik Kesehatan Kementerian Kesehatan Yogyakarta</t>
  </si>
  <si>
    <t>Politeknik Kesehatan Kementerian Kesehatan Surakarta</t>
  </si>
  <si>
    <t>DMU</t>
  </si>
  <si>
    <t>Politeknik Penerbangan Palembang</t>
  </si>
  <si>
    <t>Khairunnissa</t>
  </si>
  <si>
    <t>Satrio Bayu Wibowo</t>
  </si>
  <si>
    <t>Raden Panji Rangga Prasetyo</t>
  </si>
  <si>
    <t>Fakhira Rifa Adinda</t>
  </si>
  <si>
    <t>Muhamad Rizky</t>
  </si>
  <si>
    <t>Diva Muzdalipah</t>
  </si>
  <si>
    <t>Zulya Fathul Jannah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</si>
</sst>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2"/>
      <color theme="1"/>
      <name val="Trebuchet MS"/>
    </font>
    <font>
      <b/>
      <sz val="12"/>
      <color theme="1"/>
      <name val="Trebuchet MS"/>
    </font>
    <font>
      <sz val="11"/>
      <name val="Calibri"/>
    </font>
    <font>
      <sz val="13"/>
      <color theme="1"/>
      <name val="Trebuchet MS"/>
    </font>
    <font>
      <sz val="11"/>
      <color theme="1"/>
      <name val="Calibri"/>
    </font>
    <font>
      <b/>
      <sz val="11"/>
      <color rgb="FF000000"/>
      <name val="&quot;Aptos Narrow&quot;"/>
    </font>
    <font>
      <b/>
      <sz val="11"/>
      <color theme="1"/>
      <name val="Calibri"/>
      <scheme val="minor"/>
    </font>
    <font>
      <sz val="11"/>
      <color rgb="FF000000"/>
      <name val="Arial"/>
    </font>
    <font>
      <sz val="11"/>
      <color rgb="FF000000"/>
      <name val="&quot;Aptos Narrow&quot;"/>
    </font>
    <font>
      <sz val="12"/>
      <color theme="1"/>
      <name val="Calibri"/>
      <family val="2"/>
      <scheme val="minor"/>
    </font>
    <font>
      <sz val="12"/>
      <color theme="1"/>
      <name val="Aptos Narrow"/>
      <family val="2"/>
    </font>
  </fonts>
  <fills count="16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9900"/>
        <bgColor rgb="FFFF9900"/>
      </patternFill>
    </fill>
    <fill>
      <patternFill patternType="solid">
        <fgColor rgb="FF8EAADB"/>
        <bgColor rgb="FF8EAADB"/>
      </patternFill>
    </fill>
    <fill>
      <patternFill patternType="solid">
        <fgColor rgb="FFFF88E4"/>
        <bgColor rgb="FFFF88E4"/>
      </patternFill>
    </fill>
    <fill>
      <patternFill patternType="solid">
        <fgColor rgb="FFA8D08D"/>
        <bgColor rgb="FFA8D08D"/>
      </patternFill>
    </fill>
    <fill>
      <patternFill patternType="solid">
        <fgColor rgb="FFD9D2E9"/>
        <bgColor rgb="FFD9D2E9"/>
      </patternFill>
    </fill>
    <fill>
      <patternFill patternType="solid">
        <fgColor rgb="FFE06666"/>
        <bgColor rgb="FFE06666"/>
      </patternFill>
    </fill>
    <fill>
      <patternFill patternType="solid">
        <fgColor rgb="FFFFF2CC"/>
        <bgColor rgb="FFFFF2CC"/>
      </patternFill>
    </fill>
    <fill>
      <patternFill patternType="solid">
        <fgColor rgb="FF6FA8DC"/>
        <bgColor rgb="FF6FA8DC"/>
      </patternFill>
    </fill>
    <fill>
      <patternFill patternType="solid">
        <fgColor rgb="FFEAD1DC"/>
        <bgColor rgb="FFEAD1DC"/>
      </patternFill>
    </fill>
    <fill>
      <patternFill patternType="solid">
        <fgColor theme="6"/>
        <bgColor theme="6"/>
      </patternFill>
    </fill>
    <fill>
      <patternFill patternType="solid">
        <fgColor rgb="FF4EA72E"/>
        <bgColor rgb="FF4EA72E"/>
      </patternFill>
    </fill>
    <fill>
      <patternFill patternType="solid">
        <fgColor rgb="FFFFFF00"/>
        <bgColor rgb="FF4EA72E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0" fontId="1" fillId="0" borderId="0" xfId="1"/>
    <xf numFmtId="0" fontId="3" fillId="2" borderId="1" xfId="1" applyFont="1" applyFill="1" applyBorder="1" applyAlignment="1">
      <alignment horizontal="center" vertical="center"/>
    </xf>
    <xf numFmtId="0" fontId="3" fillId="2" borderId="5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3" borderId="6" xfId="1" applyFont="1" applyFill="1" applyBorder="1" applyAlignment="1">
      <alignment horizontal="center" vertical="center"/>
    </xf>
    <xf numFmtId="0" fontId="2" fillId="3" borderId="6" xfId="1" applyFont="1" applyFill="1" applyBorder="1" applyAlignment="1">
      <alignment vertical="center"/>
    </xf>
    <xf numFmtId="0" fontId="2" fillId="3" borderId="6" xfId="1" applyFont="1" applyFill="1" applyBorder="1" applyAlignment="1">
      <alignment horizontal="left" vertical="center"/>
    </xf>
    <xf numFmtId="0" fontId="2" fillId="4" borderId="6" xfId="1" applyFont="1" applyFill="1" applyBorder="1" applyAlignment="1">
      <alignment horizontal="center" vertical="center"/>
    </xf>
    <xf numFmtId="0" fontId="2" fillId="4" borderId="6" xfId="1" applyFont="1" applyFill="1" applyBorder="1" applyAlignment="1">
      <alignment vertical="center"/>
    </xf>
    <xf numFmtId="0" fontId="2" fillId="4" borderId="6" xfId="1" applyFont="1" applyFill="1" applyBorder="1" applyAlignment="1">
      <alignment horizontal="left" vertical="center"/>
    </xf>
    <xf numFmtId="0" fontId="2" fillId="5" borderId="6" xfId="1" applyFont="1" applyFill="1" applyBorder="1" applyAlignment="1">
      <alignment horizontal="center" vertical="center"/>
    </xf>
    <xf numFmtId="0" fontId="2" fillId="5" borderId="6" xfId="1" applyFont="1" applyFill="1" applyBorder="1" applyAlignment="1">
      <alignment vertical="center"/>
    </xf>
    <xf numFmtId="0" fontId="2" fillId="5" borderId="6" xfId="1" applyFont="1" applyFill="1" applyBorder="1" applyAlignment="1">
      <alignment horizontal="left" vertical="center"/>
    </xf>
    <xf numFmtId="0" fontId="2" fillId="6" borderId="6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vertical="center"/>
    </xf>
    <xf numFmtId="0" fontId="2" fillId="6" borderId="6" xfId="1" applyFont="1" applyFill="1" applyBorder="1" applyAlignment="1">
      <alignment horizontal="left" vertical="center"/>
    </xf>
    <xf numFmtId="0" fontId="2" fillId="7" borderId="6" xfId="1" applyFont="1" applyFill="1" applyBorder="1" applyAlignment="1">
      <alignment horizontal="center" vertical="center"/>
    </xf>
    <xf numFmtId="0" fontId="2" fillId="7" borderId="6" xfId="1" applyFont="1" applyFill="1" applyBorder="1" applyAlignment="1">
      <alignment vertical="center"/>
    </xf>
    <xf numFmtId="0" fontId="2" fillId="7" borderId="6" xfId="1" applyFont="1" applyFill="1" applyBorder="1" applyAlignment="1">
      <alignment horizontal="left" vertical="center"/>
    </xf>
    <xf numFmtId="0" fontId="5" fillId="7" borderId="6" xfId="1" applyFont="1" applyFill="1" applyBorder="1" applyAlignment="1">
      <alignment vertical="center"/>
    </xf>
    <xf numFmtId="0" fontId="2" fillId="8" borderId="6" xfId="1" applyFont="1" applyFill="1" applyBorder="1" applyAlignment="1">
      <alignment horizontal="center" vertical="center"/>
    </xf>
    <xf numFmtId="0" fontId="2" fillId="8" borderId="6" xfId="1" applyFont="1" applyFill="1" applyBorder="1" applyAlignment="1">
      <alignment vertical="center"/>
    </xf>
    <xf numFmtId="0" fontId="2" fillId="8" borderId="6" xfId="1" applyFont="1" applyFill="1" applyBorder="1" applyAlignment="1">
      <alignment horizontal="left" vertical="center"/>
    </xf>
    <xf numFmtId="0" fontId="2" fillId="9" borderId="6" xfId="1" applyFont="1" applyFill="1" applyBorder="1" applyAlignment="1">
      <alignment horizontal="center" vertical="center"/>
    </xf>
    <xf numFmtId="0" fontId="2" fillId="9" borderId="6" xfId="1" applyFont="1" applyFill="1" applyBorder="1" applyAlignment="1">
      <alignment vertical="center"/>
    </xf>
    <xf numFmtId="0" fontId="2" fillId="9" borderId="6" xfId="1" applyFont="1" applyFill="1" applyBorder="1" applyAlignment="1">
      <alignment horizontal="left" vertical="center"/>
    </xf>
    <xf numFmtId="0" fontId="5" fillId="9" borderId="6" xfId="1" applyFont="1" applyFill="1" applyBorder="1" applyAlignment="1">
      <alignment vertical="center"/>
    </xf>
    <xf numFmtId="0" fontId="2" fillId="10" borderId="6" xfId="1" applyFont="1" applyFill="1" applyBorder="1" applyAlignment="1">
      <alignment horizontal="center" vertical="center"/>
    </xf>
    <xf numFmtId="0" fontId="2" fillId="10" borderId="6" xfId="1" applyFont="1" applyFill="1" applyBorder="1" applyAlignment="1">
      <alignment vertical="center"/>
    </xf>
    <xf numFmtId="0" fontId="2" fillId="10" borderId="6" xfId="1" applyFont="1" applyFill="1" applyBorder="1" applyAlignment="1">
      <alignment horizontal="left" vertical="center"/>
    </xf>
    <xf numFmtId="0" fontId="2" fillId="10" borderId="6" xfId="1" applyFont="1" applyFill="1" applyBorder="1"/>
    <xf numFmtId="0" fontId="6" fillId="0" borderId="0" xfId="1" applyFont="1"/>
    <xf numFmtId="0" fontId="2" fillId="11" borderId="6" xfId="1" applyFont="1" applyFill="1" applyBorder="1" applyAlignment="1">
      <alignment horizontal="center" vertical="center"/>
    </xf>
    <xf numFmtId="0" fontId="2" fillId="11" borderId="6" xfId="1" applyFont="1" applyFill="1" applyBorder="1" applyAlignment="1">
      <alignment vertical="center"/>
    </xf>
    <xf numFmtId="0" fontId="2" fillId="11" borderId="6" xfId="1" applyFont="1" applyFill="1" applyBorder="1" applyAlignment="1">
      <alignment horizontal="left" vertical="center"/>
    </xf>
    <xf numFmtId="0" fontId="2" fillId="12" borderId="6" xfId="1" applyFont="1" applyFill="1" applyBorder="1" applyAlignment="1">
      <alignment horizontal="center" vertical="center"/>
    </xf>
    <xf numFmtId="0" fontId="2" fillId="12" borderId="6" xfId="1" applyFont="1" applyFill="1" applyBorder="1" applyAlignment="1">
      <alignment vertical="center"/>
    </xf>
    <xf numFmtId="0" fontId="2" fillId="12" borderId="6" xfId="1" applyFont="1" applyFill="1" applyBorder="1" applyAlignment="1">
      <alignment horizontal="left" vertical="center"/>
    </xf>
    <xf numFmtId="0" fontId="2" fillId="0" borderId="6" xfId="1" applyFont="1" applyBorder="1" applyAlignment="1">
      <alignment vertical="center"/>
    </xf>
    <xf numFmtId="0" fontId="2" fillId="0" borderId="6" xfId="1" applyFont="1" applyBorder="1" applyAlignment="1">
      <alignment horizontal="center" vertical="center"/>
    </xf>
    <xf numFmtId="0" fontId="5" fillId="0" borderId="6" xfId="1" applyFont="1" applyBorder="1" applyAlignment="1">
      <alignment vertical="center"/>
    </xf>
    <xf numFmtId="0" fontId="5" fillId="0" borderId="6" xfId="1" applyFont="1" applyBorder="1" applyAlignment="1">
      <alignment horizontal="center" vertical="center"/>
    </xf>
    <xf numFmtId="0" fontId="8" fillId="0" borderId="0" xfId="1" applyFont="1"/>
    <xf numFmtId="0" fontId="9" fillId="0" borderId="6" xfId="1" applyFont="1" applyBorder="1"/>
    <xf numFmtId="0" fontId="10" fillId="0" borderId="6" xfId="1" applyFont="1" applyBorder="1"/>
    <xf numFmtId="0" fontId="10" fillId="0" borderId="6" xfId="1" applyFont="1" applyBorder="1" applyAlignment="1">
      <alignment horizontal="center"/>
    </xf>
    <xf numFmtId="0" fontId="10" fillId="0" borderId="0" xfId="1" applyFont="1"/>
    <xf numFmtId="0" fontId="7" fillId="14" borderId="6" xfId="1" applyFont="1" applyFill="1" applyBorder="1" applyAlignment="1">
      <alignment horizontal="center"/>
    </xf>
    <xf numFmtId="0" fontId="11" fillId="0" borderId="0" xfId="1" applyFont="1"/>
    <xf numFmtId="0" fontId="12" fillId="0" borderId="0" xfId="1" applyFont="1"/>
    <xf numFmtId="0" fontId="3" fillId="2" borderId="2" xfId="1" applyFont="1" applyFill="1" applyBorder="1" applyAlignment="1">
      <alignment horizontal="center" vertical="center"/>
    </xf>
    <xf numFmtId="0" fontId="4" fillId="0" borderId="3" xfId="1" applyFont="1" applyBorder="1"/>
    <xf numFmtId="0" fontId="4" fillId="0" borderId="4" xfId="1" applyFont="1" applyBorder="1"/>
    <xf numFmtId="0" fontId="4" fillId="0" borderId="5" xfId="1" applyFont="1" applyBorder="1"/>
    <xf numFmtId="0" fontId="7" fillId="14" borderId="2" xfId="1" applyFont="1" applyFill="1" applyBorder="1" applyAlignment="1">
      <alignment horizontal="center"/>
    </xf>
    <xf numFmtId="0" fontId="4" fillId="15" borderId="3" xfId="1" applyFont="1" applyFill="1" applyBorder="1"/>
    <xf numFmtId="0" fontId="4" fillId="15" borderId="4" xfId="1" applyFont="1" applyFill="1" applyBorder="1"/>
    <xf numFmtId="0" fontId="7" fillId="13" borderId="1" xfId="1" applyFont="1" applyFill="1" applyBorder="1" applyAlignment="1">
      <alignment horizontal="center"/>
    </xf>
    <xf numFmtId="0" fontId="9" fillId="0" borderId="0" xfId="1" applyFont="1"/>
    <xf numFmtId="0" fontId="1" fillId="0" borderId="0" xfId="1"/>
    <xf numFmtId="0" fontId="0" fillId="0" borderId="0" xfId="0" applyAlignment="1">
      <alignment horizontal="left" vertical="top"/>
    </xf>
    <xf numFmtId="0" fontId="10" fillId="0" borderId="7" xfId="1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10" fillId="0" borderId="8" xfId="1" applyFont="1" applyBorder="1" applyAlignment="1">
      <alignment horizontal="left" vertical="top" wrapText="1"/>
    </xf>
    <xf numFmtId="0" fontId="10" fillId="0" borderId="9" xfId="1" applyFont="1" applyBorder="1" applyAlignment="1">
      <alignment horizontal="left" vertical="top"/>
    </xf>
  </cellXfs>
  <cellStyles count="2">
    <cellStyle name="Normal" xfId="0" builtinId="0"/>
    <cellStyle name="Normal 2" xfId="1" xr:uid="{FF9494AF-4123-4119-B23F-BC1B530644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5F03-8773-4152-9EA5-73923420D248}">
  <dimension ref="A1:AC1009"/>
  <sheetViews>
    <sheetView tabSelected="1" zoomScale="103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46" sqref="D46"/>
    </sheetView>
  </sheetViews>
  <sheetFormatPr defaultColWidth="14.44140625" defaultRowHeight="15" customHeight="1"/>
  <cols>
    <col min="1" max="1" width="8.5546875" style="3" customWidth="1"/>
    <col min="2" max="2" width="65.109375" style="3" bestFit="1" customWidth="1"/>
    <col min="3" max="3" width="28.109375" style="3" bestFit="1" customWidth="1"/>
    <col min="4" max="4" width="15.109375" style="3" bestFit="1" customWidth="1"/>
    <col min="5" max="5" width="19.77734375" style="3" bestFit="1" customWidth="1"/>
    <col min="6" max="6" width="25.77734375" style="3" bestFit="1" customWidth="1"/>
    <col min="7" max="7" width="29.21875" style="3" bestFit="1" customWidth="1"/>
    <col min="8" max="8" width="27.88671875" style="3" bestFit="1" customWidth="1"/>
    <col min="9" max="9" width="28.5546875" style="3" bestFit="1" customWidth="1"/>
    <col min="10" max="10" width="26.33203125" style="3" bestFit="1" customWidth="1"/>
    <col min="11" max="11" width="16" style="3" bestFit="1" customWidth="1"/>
    <col min="12" max="29" width="8.77734375" style="3" customWidth="1"/>
    <col min="30" max="16384" width="14.44140625" style="3"/>
  </cols>
  <sheetData>
    <row r="1" spans="1:29" ht="16.2">
      <c r="A1" s="1"/>
      <c r="B1" s="1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" customHeight="1">
      <c r="A2" s="4" t="s">
        <v>0</v>
      </c>
      <c r="B2" s="4" t="s">
        <v>1</v>
      </c>
      <c r="C2" s="4" t="s">
        <v>2</v>
      </c>
      <c r="D2" s="54" t="s">
        <v>3</v>
      </c>
      <c r="E2" s="55"/>
      <c r="F2" s="55"/>
      <c r="G2" s="55"/>
      <c r="H2" s="55"/>
      <c r="I2" s="55"/>
      <c r="J2" s="55"/>
      <c r="K2" s="5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6.2">
      <c r="A3" s="5"/>
      <c r="B3" s="5"/>
      <c r="C3" s="5"/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6.2">
      <c r="A4" s="8">
        <v>1</v>
      </c>
      <c r="B4" s="9" t="s">
        <v>12</v>
      </c>
      <c r="C4" s="10" t="s">
        <v>13</v>
      </c>
      <c r="D4" s="9" t="s">
        <v>84</v>
      </c>
      <c r="E4" s="9" t="s">
        <v>112</v>
      </c>
      <c r="F4" s="9" t="s">
        <v>88</v>
      </c>
      <c r="G4" s="9" t="s">
        <v>93</v>
      </c>
      <c r="H4" s="9" t="s">
        <v>94</v>
      </c>
      <c r="I4" s="9" t="s">
        <v>97</v>
      </c>
      <c r="J4" s="9" t="s">
        <v>112</v>
      </c>
      <c r="K4" s="9" t="s">
        <v>112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2">
      <c r="A5" s="8">
        <f t="shared" ref="A5:A37" si="0">A4+1</f>
        <v>2</v>
      </c>
      <c r="B5" s="9" t="s">
        <v>19</v>
      </c>
      <c r="C5" s="10" t="s">
        <v>13</v>
      </c>
      <c r="D5" s="9" t="s">
        <v>83</v>
      </c>
      <c r="E5" s="9" t="s">
        <v>112</v>
      </c>
      <c r="F5" s="9" t="s">
        <v>87</v>
      </c>
      <c r="G5" s="9" t="s">
        <v>95</v>
      </c>
      <c r="H5" s="9" t="s">
        <v>100</v>
      </c>
      <c r="I5" s="9" t="s">
        <v>108</v>
      </c>
      <c r="J5" s="9" t="s">
        <v>112</v>
      </c>
      <c r="K5" s="9" t="s">
        <v>112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2">
      <c r="A6" s="11">
        <f t="shared" si="0"/>
        <v>3</v>
      </c>
      <c r="B6" s="12" t="s">
        <v>25</v>
      </c>
      <c r="C6" s="13" t="s">
        <v>26</v>
      </c>
      <c r="D6" s="12" t="s">
        <v>83</v>
      </c>
      <c r="E6" s="12" t="s">
        <v>84</v>
      </c>
      <c r="F6" s="12" t="s">
        <v>112</v>
      </c>
      <c r="G6" s="12" t="s">
        <v>93</v>
      </c>
      <c r="H6" s="12" t="s">
        <v>98</v>
      </c>
      <c r="I6" s="12" t="s">
        <v>97</v>
      </c>
      <c r="J6" s="12" t="s">
        <v>112</v>
      </c>
      <c r="K6" s="12" t="s">
        <v>112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2">
      <c r="A7" s="11">
        <f t="shared" si="0"/>
        <v>4</v>
      </c>
      <c r="B7" s="12" t="s">
        <v>28</v>
      </c>
      <c r="C7" s="13" t="s">
        <v>29</v>
      </c>
      <c r="D7" s="12" t="s">
        <v>83</v>
      </c>
      <c r="E7" s="12" t="s">
        <v>112</v>
      </c>
      <c r="F7" s="12" t="s">
        <v>88</v>
      </c>
      <c r="G7" s="12" t="s">
        <v>94</v>
      </c>
      <c r="H7" s="12" t="s">
        <v>102</v>
      </c>
      <c r="I7" s="12" t="s">
        <v>106</v>
      </c>
      <c r="J7" s="12" t="s">
        <v>112</v>
      </c>
      <c r="K7" s="12" t="s">
        <v>112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6.2">
      <c r="A8" s="14">
        <f t="shared" si="0"/>
        <v>5</v>
      </c>
      <c r="B8" s="15" t="s">
        <v>32</v>
      </c>
      <c r="C8" s="16" t="s">
        <v>13</v>
      </c>
      <c r="D8" s="15" t="s">
        <v>84</v>
      </c>
      <c r="E8" s="15" t="s">
        <v>112</v>
      </c>
      <c r="F8" s="15" t="s">
        <v>89</v>
      </c>
      <c r="G8" s="15" t="s">
        <v>97</v>
      </c>
      <c r="H8" s="15" t="s">
        <v>101</v>
      </c>
      <c r="I8" s="15" t="s">
        <v>103</v>
      </c>
      <c r="J8" s="15" t="s">
        <v>112</v>
      </c>
      <c r="K8" s="15" t="s">
        <v>112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6.2">
      <c r="A9" s="14">
        <f t="shared" si="0"/>
        <v>6</v>
      </c>
      <c r="B9" s="15" t="s">
        <v>36</v>
      </c>
      <c r="C9" s="16" t="s">
        <v>29</v>
      </c>
      <c r="D9" s="15" t="s">
        <v>83</v>
      </c>
      <c r="E9" s="15" t="s">
        <v>112</v>
      </c>
      <c r="F9" s="15" t="s">
        <v>88</v>
      </c>
      <c r="G9" s="15" t="s">
        <v>94</v>
      </c>
      <c r="H9" s="15" t="s">
        <v>102</v>
      </c>
      <c r="I9" s="15" t="s">
        <v>106</v>
      </c>
      <c r="J9" s="15" t="s">
        <v>112</v>
      </c>
      <c r="K9" s="15" t="s">
        <v>112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6.2">
      <c r="A10" s="14">
        <f t="shared" si="0"/>
        <v>7</v>
      </c>
      <c r="B10" s="15" t="s">
        <v>37</v>
      </c>
      <c r="C10" s="16" t="s">
        <v>26</v>
      </c>
      <c r="D10" s="15" t="s">
        <v>83</v>
      </c>
      <c r="E10" s="15" t="s">
        <v>112</v>
      </c>
      <c r="F10" s="15" t="s">
        <v>91</v>
      </c>
      <c r="G10" s="15" t="s">
        <v>98</v>
      </c>
      <c r="H10" s="15" t="s">
        <v>104</v>
      </c>
      <c r="I10" s="15" t="s">
        <v>107</v>
      </c>
      <c r="J10" s="15" t="s">
        <v>109</v>
      </c>
      <c r="K10" s="15" t="s">
        <v>112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2">
      <c r="A11" s="14">
        <f t="shared" si="0"/>
        <v>8</v>
      </c>
      <c r="B11" s="15" t="s">
        <v>42</v>
      </c>
      <c r="C11" s="16" t="s">
        <v>26</v>
      </c>
      <c r="D11" s="15" t="s">
        <v>83</v>
      </c>
      <c r="E11" s="15" t="s">
        <v>84</v>
      </c>
      <c r="F11" s="15" t="s">
        <v>112</v>
      </c>
      <c r="G11" s="15" t="s">
        <v>93</v>
      </c>
      <c r="H11" s="15" t="s">
        <v>94</v>
      </c>
      <c r="I11" s="15" t="s">
        <v>97</v>
      </c>
      <c r="J11" s="15" t="s">
        <v>112</v>
      </c>
      <c r="K11" s="15" t="s">
        <v>112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2">
      <c r="A12" s="17">
        <f t="shared" si="0"/>
        <v>9</v>
      </c>
      <c r="B12" s="18" t="s">
        <v>43</v>
      </c>
      <c r="C12" s="19" t="s">
        <v>44</v>
      </c>
      <c r="D12" s="18" t="s">
        <v>83</v>
      </c>
      <c r="E12" s="18" t="s">
        <v>84</v>
      </c>
      <c r="F12" s="18" t="s">
        <v>86</v>
      </c>
      <c r="G12" s="18" t="s">
        <v>97</v>
      </c>
      <c r="H12" s="18" t="s">
        <v>101</v>
      </c>
      <c r="I12" s="18" t="s">
        <v>103</v>
      </c>
      <c r="J12" s="18" t="s">
        <v>105</v>
      </c>
      <c r="K12" s="18" t="s">
        <v>112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2">
      <c r="A13" s="17">
        <f t="shared" si="0"/>
        <v>10</v>
      </c>
      <c r="B13" s="18" t="s">
        <v>47</v>
      </c>
      <c r="C13" s="19" t="s">
        <v>29</v>
      </c>
      <c r="D13" s="18" t="s">
        <v>83</v>
      </c>
      <c r="E13" s="18" t="s">
        <v>112</v>
      </c>
      <c r="F13" s="18" t="s">
        <v>88</v>
      </c>
      <c r="G13" s="18" t="s">
        <v>94</v>
      </c>
      <c r="H13" s="18" t="s">
        <v>102</v>
      </c>
      <c r="I13" s="18" t="s">
        <v>106</v>
      </c>
      <c r="J13" s="18" t="s">
        <v>112</v>
      </c>
      <c r="K13" s="18" t="s">
        <v>112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2">
      <c r="A14" s="17">
        <f t="shared" si="0"/>
        <v>11</v>
      </c>
      <c r="B14" s="18" t="s">
        <v>48</v>
      </c>
      <c r="C14" s="19" t="s">
        <v>13</v>
      </c>
      <c r="D14" s="18" t="s">
        <v>83</v>
      </c>
      <c r="E14" s="18" t="s">
        <v>112</v>
      </c>
      <c r="F14" s="18" t="s">
        <v>112</v>
      </c>
      <c r="G14" s="18" t="s">
        <v>93</v>
      </c>
      <c r="H14" s="18" t="s">
        <v>98</v>
      </c>
      <c r="I14" s="18" t="s">
        <v>109</v>
      </c>
      <c r="J14" s="18" t="s">
        <v>107</v>
      </c>
      <c r="K14" s="18" t="s">
        <v>112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2">
      <c r="A15" s="17">
        <f t="shared" si="0"/>
        <v>12</v>
      </c>
      <c r="B15" s="18" t="s">
        <v>49</v>
      </c>
      <c r="C15" s="19" t="s">
        <v>50</v>
      </c>
      <c r="D15" s="18" t="s">
        <v>83</v>
      </c>
      <c r="E15" s="18" t="s">
        <v>112</v>
      </c>
      <c r="F15" s="18" t="s">
        <v>92</v>
      </c>
      <c r="G15" s="18" t="s">
        <v>98</v>
      </c>
      <c r="H15" s="18" t="s">
        <v>104</v>
      </c>
      <c r="I15" s="18" t="s">
        <v>112</v>
      </c>
      <c r="J15" s="18" t="s">
        <v>112</v>
      </c>
      <c r="K15" s="18" t="s">
        <v>112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2">
      <c r="A16" s="20">
        <f t="shared" si="0"/>
        <v>13</v>
      </c>
      <c r="B16" s="21" t="s">
        <v>52</v>
      </c>
      <c r="C16" s="22" t="s">
        <v>26</v>
      </c>
      <c r="D16" s="21" t="s">
        <v>83</v>
      </c>
      <c r="E16" s="21" t="s">
        <v>84</v>
      </c>
      <c r="F16" s="21" t="s">
        <v>87</v>
      </c>
      <c r="G16" s="21" t="s">
        <v>93</v>
      </c>
      <c r="H16" s="21" t="s">
        <v>94</v>
      </c>
      <c r="I16" s="21" t="s">
        <v>98</v>
      </c>
      <c r="J16" s="21" t="s">
        <v>112</v>
      </c>
      <c r="K16" s="21" t="s">
        <v>112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2">
      <c r="A17" s="20">
        <f t="shared" si="0"/>
        <v>14</v>
      </c>
      <c r="B17" s="21" t="s">
        <v>53</v>
      </c>
      <c r="C17" s="22" t="s">
        <v>29</v>
      </c>
      <c r="D17" s="21" t="s">
        <v>84</v>
      </c>
      <c r="E17" s="21" t="s">
        <v>83</v>
      </c>
      <c r="F17" s="21" t="s">
        <v>86</v>
      </c>
      <c r="G17" s="21" t="s">
        <v>97</v>
      </c>
      <c r="H17" s="21" t="s">
        <v>101</v>
      </c>
      <c r="I17" s="21" t="s">
        <v>103</v>
      </c>
      <c r="J17" s="21" t="s">
        <v>105</v>
      </c>
      <c r="K17" s="21" t="s">
        <v>112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2">
      <c r="A18" s="20">
        <f t="shared" si="0"/>
        <v>15</v>
      </c>
      <c r="B18" s="21" t="s">
        <v>54</v>
      </c>
      <c r="C18" s="22" t="s">
        <v>29</v>
      </c>
      <c r="D18" s="21" t="s">
        <v>84</v>
      </c>
      <c r="E18" s="21" t="s">
        <v>83</v>
      </c>
      <c r="F18" s="21" t="s">
        <v>88</v>
      </c>
      <c r="G18" s="21" t="s">
        <v>94</v>
      </c>
      <c r="H18" s="21" t="s">
        <v>93</v>
      </c>
      <c r="I18" s="21" t="s">
        <v>102</v>
      </c>
      <c r="J18" s="21" t="s">
        <v>106</v>
      </c>
      <c r="K18" s="21" t="s">
        <v>112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2">
      <c r="A19" s="20">
        <f t="shared" si="0"/>
        <v>16</v>
      </c>
      <c r="B19" s="21" t="s">
        <v>55</v>
      </c>
      <c r="C19" s="22" t="s">
        <v>26</v>
      </c>
      <c r="D19" s="21" t="s">
        <v>83</v>
      </c>
      <c r="E19" s="21" t="s">
        <v>112</v>
      </c>
      <c r="F19" s="21" t="s">
        <v>91</v>
      </c>
      <c r="G19" s="21" t="s">
        <v>98</v>
      </c>
      <c r="H19" s="21" t="s">
        <v>104</v>
      </c>
      <c r="I19" s="21" t="s">
        <v>107</v>
      </c>
      <c r="J19" s="21" t="s">
        <v>112</v>
      </c>
      <c r="K19" s="21" t="s">
        <v>112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7.399999999999999">
      <c r="A20" s="20">
        <f t="shared" si="0"/>
        <v>17</v>
      </c>
      <c r="B20" s="23" t="s">
        <v>56</v>
      </c>
      <c r="C20" s="22" t="s">
        <v>29</v>
      </c>
      <c r="D20" s="23" t="s">
        <v>84</v>
      </c>
      <c r="E20" s="23" t="s">
        <v>112</v>
      </c>
      <c r="F20" s="23" t="s">
        <v>87</v>
      </c>
      <c r="G20" s="23" t="s">
        <v>95</v>
      </c>
      <c r="H20" s="23" t="s">
        <v>100</v>
      </c>
      <c r="I20" s="23" t="s">
        <v>108</v>
      </c>
      <c r="J20" s="23" t="s">
        <v>99</v>
      </c>
      <c r="K20" s="23" t="s">
        <v>112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2">
      <c r="A21" s="24">
        <f t="shared" si="0"/>
        <v>18</v>
      </c>
      <c r="B21" s="25" t="s">
        <v>58</v>
      </c>
      <c r="C21" s="26" t="s">
        <v>29</v>
      </c>
      <c r="D21" s="25" t="s">
        <v>83</v>
      </c>
      <c r="E21" s="25" t="s">
        <v>112</v>
      </c>
      <c r="F21" s="25" t="s">
        <v>89</v>
      </c>
      <c r="G21" s="25" t="s">
        <v>97</v>
      </c>
      <c r="H21" s="25" t="s">
        <v>101</v>
      </c>
      <c r="I21" s="25" t="s">
        <v>103</v>
      </c>
      <c r="J21" s="25" t="s">
        <v>112</v>
      </c>
      <c r="K21" s="25" t="s">
        <v>112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2">
      <c r="A22" s="24">
        <f t="shared" si="0"/>
        <v>19</v>
      </c>
      <c r="B22" s="25" t="s">
        <v>59</v>
      </c>
      <c r="C22" s="26" t="s">
        <v>29</v>
      </c>
      <c r="D22" s="25" t="s">
        <v>83</v>
      </c>
      <c r="E22" s="25" t="s">
        <v>112</v>
      </c>
      <c r="F22" s="25" t="s">
        <v>87</v>
      </c>
      <c r="G22" s="25" t="s">
        <v>98</v>
      </c>
      <c r="H22" s="25" t="s">
        <v>104</v>
      </c>
      <c r="I22" s="25" t="s">
        <v>107</v>
      </c>
      <c r="J22" s="25" t="s">
        <v>109</v>
      </c>
      <c r="K22" s="25" t="s">
        <v>112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6.2">
      <c r="A23" s="27">
        <f t="shared" si="0"/>
        <v>20</v>
      </c>
      <c r="B23" s="28" t="s">
        <v>60</v>
      </c>
      <c r="C23" s="29" t="s">
        <v>13</v>
      </c>
      <c r="D23" s="28" t="s">
        <v>84</v>
      </c>
      <c r="E23" s="28" t="s">
        <v>112</v>
      </c>
      <c r="F23" s="28" t="s">
        <v>89</v>
      </c>
      <c r="G23" s="28" t="s">
        <v>97</v>
      </c>
      <c r="H23" s="28" t="s">
        <v>101</v>
      </c>
      <c r="I23" s="28" t="s">
        <v>103</v>
      </c>
      <c r="J23" s="28" t="s">
        <v>112</v>
      </c>
      <c r="K23" s="28" t="s">
        <v>112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7.399999999999999">
      <c r="A24" s="27">
        <f t="shared" si="0"/>
        <v>21</v>
      </c>
      <c r="B24" s="30" t="s">
        <v>61</v>
      </c>
      <c r="C24" s="29" t="s">
        <v>29</v>
      </c>
      <c r="D24" s="30" t="s">
        <v>83</v>
      </c>
      <c r="E24" s="30" t="s">
        <v>84</v>
      </c>
      <c r="F24" s="30" t="s">
        <v>87</v>
      </c>
      <c r="G24" s="30" t="s">
        <v>98</v>
      </c>
      <c r="H24" s="30" t="s">
        <v>104</v>
      </c>
      <c r="I24" s="30" t="s">
        <v>107</v>
      </c>
      <c r="J24" s="30" t="s">
        <v>109</v>
      </c>
      <c r="K24" s="30" t="s">
        <v>112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2">
      <c r="A25" s="27">
        <f t="shared" si="0"/>
        <v>22</v>
      </c>
      <c r="B25" s="28" t="s">
        <v>62</v>
      </c>
      <c r="C25" s="29" t="s">
        <v>29</v>
      </c>
      <c r="D25" s="28" t="s">
        <v>83</v>
      </c>
      <c r="E25" s="28" t="s">
        <v>84</v>
      </c>
      <c r="F25" s="28" t="s">
        <v>85</v>
      </c>
      <c r="G25" s="28" t="s">
        <v>94</v>
      </c>
      <c r="H25" s="28" t="s">
        <v>91</v>
      </c>
      <c r="I25" s="28" t="s">
        <v>96</v>
      </c>
      <c r="J25" s="28" t="s">
        <v>102</v>
      </c>
      <c r="K25" s="28" t="s">
        <v>112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2">
      <c r="A26" s="27">
        <f t="shared" si="0"/>
        <v>23</v>
      </c>
      <c r="B26" s="28" t="s">
        <v>65</v>
      </c>
      <c r="C26" s="29" t="s">
        <v>13</v>
      </c>
      <c r="D26" s="28" t="s">
        <v>84</v>
      </c>
      <c r="E26" s="28" t="s">
        <v>112</v>
      </c>
      <c r="F26" s="28" t="s">
        <v>86</v>
      </c>
      <c r="G26" s="28" t="s">
        <v>95</v>
      </c>
      <c r="H26" s="28" t="s">
        <v>100</v>
      </c>
      <c r="I26" s="28" t="s">
        <v>108</v>
      </c>
      <c r="J26" s="28" t="s">
        <v>99</v>
      </c>
      <c r="K26" s="28" t="s">
        <v>112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2">
      <c r="A27" s="27">
        <f t="shared" si="0"/>
        <v>24</v>
      </c>
      <c r="B27" s="28" t="s">
        <v>66</v>
      </c>
      <c r="C27" s="29" t="s">
        <v>67</v>
      </c>
      <c r="D27" s="28" t="s">
        <v>83</v>
      </c>
      <c r="E27" s="28" t="s">
        <v>84</v>
      </c>
      <c r="F27" s="28" t="s">
        <v>90</v>
      </c>
      <c r="G27" s="28" t="s">
        <v>93</v>
      </c>
      <c r="H27" s="28" t="s">
        <v>88</v>
      </c>
      <c r="I27" s="28" t="s">
        <v>94</v>
      </c>
      <c r="J27" s="28" t="s">
        <v>112</v>
      </c>
      <c r="K27" s="28" t="s">
        <v>112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2">
      <c r="A28" s="31">
        <f t="shared" si="0"/>
        <v>25</v>
      </c>
      <c r="B28" s="32" t="s">
        <v>69</v>
      </c>
      <c r="C28" s="33" t="s">
        <v>13</v>
      </c>
      <c r="D28" s="32" t="s">
        <v>83</v>
      </c>
      <c r="E28" s="32" t="s">
        <v>84</v>
      </c>
      <c r="F28" s="32" t="s">
        <v>89</v>
      </c>
      <c r="G28" s="32" t="s">
        <v>97</v>
      </c>
      <c r="H28" s="32" t="s">
        <v>101</v>
      </c>
      <c r="I28" s="32" t="s">
        <v>103</v>
      </c>
      <c r="J28" s="32" t="s">
        <v>112</v>
      </c>
      <c r="K28" s="32" t="s">
        <v>112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6.2">
      <c r="A29" s="31">
        <f t="shared" si="0"/>
        <v>26</v>
      </c>
      <c r="B29" s="34" t="s">
        <v>70</v>
      </c>
      <c r="C29" s="34" t="s">
        <v>29</v>
      </c>
      <c r="D29" s="34" t="s">
        <v>84</v>
      </c>
      <c r="E29" s="34" t="s">
        <v>87</v>
      </c>
      <c r="F29" s="34" t="s">
        <v>93</v>
      </c>
      <c r="G29" s="34" t="s">
        <v>94</v>
      </c>
      <c r="H29" s="34" t="s">
        <v>102</v>
      </c>
      <c r="I29" s="34" t="s">
        <v>110</v>
      </c>
      <c r="J29" s="34" t="s">
        <v>112</v>
      </c>
      <c r="K29" s="34" t="s">
        <v>112</v>
      </c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</row>
    <row r="30" spans="1:29" ht="16.2">
      <c r="A30" s="31">
        <f t="shared" si="0"/>
        <v>27</v>
      </c>
      <c r="B30" s="32" t="s">
        <v>72</v>
      </c>
      <c r="C30" s="33" t="s">
        <v>26</v>
      </c>
      <c r="D30" s="32" t="s">
        <v>83</v>
      </c>
      <c r="E30" s="32" t="s">
        <v>84</v>
      </c>
      <c r="F30" s="32" t="s">
        <v>112</v>
      </c>
      <c r="G30" s="32" t="s">
        <v>98</v>
      </c>
      <c r="H30" s="32" t="s">
        <v>104</v>
      </c>
      <c r="I30" s="32" t="s">
        <v>107</v>
      </c>
      <c r="J30" s="32" t="s">
        <v>109</v>
      </c>
      <c r="K30" s="32" t="s">
        <v>112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6.2">
      <c r="A31" s="31">
        <f t="shared" si="0"/>
        <v>28</v>
      </c>
      <c r="B31" s="32" t="s">
        <v>73</v>
      </c>
      <c r="C31" s="33" t="s">
        <v>29</v>
      </c>
      <c r="D31" s="32" t="s">
        <v>83</v>
      </c>
      <c r="E31" s="32" t="s">
        <v>84</v>
      </c>
      <c r="F31" s="32" t="s">
        <v>112</v>
      </c>
      <c r="G31" s="32" t="s">
        <v>95</v>
      </c>
      <c r="H31" s="32" t="s">
        <v>100</v>
      </c>
      <c r="I31" s="32" t="s">
        <v>108</v>
      </c>
      <c r="J31" s="32" t="s">
        <v>99</v>
      </c>
      <c r="K31" s="32" t="s">
        <v>112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6.2">
      <c r="A32" s="31">
        <f t="shared" si="0"/>
        <v>29</v>
      </c>
      <c r="B32" s="32" t="s">
        <v>74</v>
      </c>
      <c r="C32" s="33" t="s">
        <v>26</v>
      </c>
      <c r="D32" s="32" t="s">
        <v>83</v>
      </c>
      <c r="E32" s="32" t="s">
        <v>112</v>
      </c>
      <c r="F32" s="32" t="s">
        <v>88</v>
      </c>
      <c r="G32" s="32" t="s">
        <v>93</v>
      </c>
      <c r="H32" s="32" t="s">
        <v>98</v>
      </c>
      <c r="I32" s="32" t="s">
        <v>104</v>
      </c>
      <c r="J32" s="32" t="s">
        <v>112</v>
      </c>
      <c r="K32" s="32" t="s">
        <v>112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6.2">
      <c r="A33" s="36">
        <f t="shared" si="0"/>
        <v>30</v>
      </c>
      <c r="B33" s="37" t="s">
        <v>75</v>
      </c>
      <c r="C33" s="38" t="s">
        <v>29</v>
      </c>
      <c r="D33" s="37" t="s">
        <v>84</v>
      </c>
      <c r="E33" s="37" t="s">
        <v>112</v>
      </c>
      <c r="F33" s="37" t="s">
        <v>88</v>
      </c>
      <c r="G33" s="37" t="s">
        <v>97</v>
      </c>
      <c r="H33" s="37" t="s">
        <v>101</v>
      </c>
      <c r="I33" s="37" t="s">
        <v>103</v>
      </c>
      <c r="J33" s="37" t="s">
        <v>112</v>
      </c>
      <c r="K33" s="37" t="s">
        <v>112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6.2">
      <c r="A34" s="36">
        <f t="shared" si="0"/>
        <v>31</v>
      </c>
      <c r="B34" s="37" t="s">
        <v>76</v>
      </c>
      <c r="C34" s="38" t="s">
        <v>13</v>
      </c>
      <c r="D34" s="37" t="s">
        <v>84</v>
      </c>
      <c r="E34" s="37" t="s">
        <v>112</v>
      </c>
      <c r="F34" s="37" t="s">
        <v>87</v>
      </c>
      <c r="G34" s="37" t="s">
        <v>94</v>
      </c>
      <c r="H34" s="37" t="s">
        <v>102</v>
      </c>
      <c r="I34" s="37" t="s">
        <v>110</v>
      </c>
      <c r="J34" s="37" t="s">
        <v>112</v>
      </c>
      <c r="K34" s="37" t="s">
        <v>112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6.2">
      <c r="A35" s="36">
        <f t="shared" si="0"/>
        <v>32</v>
      </c>
      <c r="B35" s="37" t="s">
        <v>77</v>
      </c>
      <c r="C35" s="38" t="s">
        <v>29</v>
      </c>
      <c r="D35" s="37" t="s">
        <v>83</v>
      </c>
      <c r="E35" s="37" t="s">
        <v>84</v>
      </c>
      <c r="F35" s="37" t="s">
        <v>86</v>
      </c>
      <c r="G35" s="37" t="s">
        <v>98</v>
      </c>
      <c r="H35" s="37" t="s">
        <v>104</v>
      </c>
      <c r="I35" s="37" t="s">
        <v>107</v>
      </c>
      <c r="J35" s="37" t="s">
        <v>112</v>
      </c>
      <c r="K35" s="37" t="s">
        <v>112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6.2">
      <c r="A36" s="36">
        <f t="shared" si="0"/>
        <v>33</v>
      </c>
      <c r="B36" s="37" t="s">
        <v>78</v>
      </c>
      <c r="C36" s="38" t="s">
        <v>13</v>
      </c>
      <c r="D36" s="37" t="s">
        <v>84</v>
      </c>
      <c r="E36" s="37" t="s">
        <v>86</v>
      </c>
      <c r="F36" s="37" t="s">
        <v>112</v>
      </c>
      <c r="G36" s="37" t="s">
        <v>95</v>
      </c>
      <c r="H36" s="37" t="s">
        <v>100</v>
      </c>
      <c r="I36" s="37" t="s">
        <v>108</v>
      </c>
      <c r="J36" s="37" t="s">
        <v>99</v>
      </c>
      <c r="K36" s="37" t="s">
        <v>112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6.2">
      <c r="A37" s="39">
        <f t="shared" si="0"/>
        <v>34</v>
      </c>
      <c r="B37" s="40" t="s">
        <v>79</v>
      </c>
      <c r="C37" s="41" t="s">
        <v>29</v>
      </c>
      <c r="D37" s="40" t="s">
        <v>83</v>
      </c>
      <c r="E37" s="40" t="s">
        <v>112</v>
      </c>
      <c r="F37" s="40" t="s">
        <v>87</v>
      </c>
      <c r="G37" s="40" t="s">
        <v>93</v>
      </c>
      <c r="H37" s="40" t="s">
        <v>95</v>
      </c>
      <c r="I37" s="40" t="s">
        <v>100</v>
      </c>
      <c r="J37" s="40" t="s">
        <v>106</v>
      </c>
      <c r="K37" s="40" t="s">
        <v>112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9" spans="1:29" ht="16.2">
      <c r="A39" s="2"/>
      <c r="B39" s="1"/>
      <c r="C39" s="2"/>
      <c r="D39" s="2"/>
      <c r="E39" s="2"/>
      <c r="F39" s="2"/>
      <c r="G39" s="2"/>
      <c r="H39" s="2"/>
      <c r="I39" s="2"/>
      <c r="J39" s="2"/>
      <c r="K39" s="2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6.2">
      <c r="A40" s="6" t="s">
        <v>81</v>
      </c>
      <c r="B40" s="6" t="s">
        <v>80</v>
      </c>
      <c r="C40" s="6" t="s">
        <v>81</v>
      </c>
      <c r="D40" s="6" t="s">
        <v>4</v>
      </c>
      <c r="E40" s="6" t="s">
        <v>5</v>
      </c>
      <c r="F40" s="6" t="s">
        <v>6</v>
      </c>
      <c r="G40" s="6" t="s">
        <v>7</v>
      </c>
      <c r="H40" s="6" t="s">
        <v>82</v>
      </c>
      <c r="I40" s="6" t="s">
        <v>82</v>
      </c>
      <c r="J40" s="6" t="s">
        <v>82</v>
      </c>
      <c r="K40" s="6" t="s">
        <v>82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6.2">
      <c r="A41" s="43" t="s">
        <v>20</v>
      </c>
      <c r="B41" s="42" t="s">
        <v>83</v>
      </c>
      <c r="C41" s="43" t="s">
        <v>20</v>
      </c>
      <c r="D41" s="43">
        <f>COUNTIF(D$4:D$37,C41)</f>
        <v>0</v>
      </c>
      <c r="E41" s="43">
        <f t="shared" ref="E41:E68" si="1">COUNTIF(E$4:E$37,C41)</f>
        <v>0</v>
      </c>
      <c r="F41" s="43">
        <f t="shared" ref="F41:F68" si="2">COUNTIF(F$4:F$37,C41)</f>
        <v>0</v>
      </c>
      <c r="G41" s="43">
        <f t="shared" ref="G41:G68" si="3">COUNTIF(G$4:G$37,C41)</f>
        <v>0</v>
      </c>
      <c r="H41" s="43">
        <f t="shared" ref="H41:H68" si="4">COUNTIF(H$4:H$37,C41)</f>
        <v>0</v>
      </c>
      <c r="I41" s="43">
        <f t="shared" ref="I41:I68" si="5">COUNTIF(I$4:I$37,C41)</f>
        <v>0</v>
      </c>
      <c r="J41" s="43">
        <f t="shared" ref="J41:J68" si="6">COUNTIF(J$4:J$37,C41)</f>
        <v>0</v>
      </c>
      <c r="K41" s="43">
        <f t="shared" ref="K41:K68" si="7">COUNTIF(K$4:K$37,C41)</f>
        <v>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6.2">
      <c r="A42" s="43" t="s">
        <v>14</v>
      </c>
      <c r="B42" s="42" t="s">
        <v>84</v>
      </c>
      <c r="C42" s="43" t="s">
        <v>14</v>
      </c>
      <c r="D42" s="43">
        <f t="shared" ref="D42:D68" si="8">COUNTIF(D$4:D$37,C42)</f>
        <v>0</v>
      </c>
      <c r="E42" s="43">
        <f t="shared" si="1"/>
        <v>0</v>
      </c>
      <c r="F42" s="43">
        <f t="shared" si="2"/>
        <v>0</v>
      </c>
      <c r="G42" s="43">
        <f t="shared" si="3"/>
        <v>0</v>
      </c>
      <c r="H42" s="43">
        <f t="shared" si="4"/>
        <v>0</v>
      </c>
      <c r="I42" s="43">
        <f t="shared" si="5"/>
        <v>0</v>
      </c>
      <c r="J42" s="43">
        <f t="shared" si="6"/>
        <v>0</v>
      </c>
      <c r="K42" s="43">
        <f t="shared" si="7"/>
        <v>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6.2">
      <c r="A43" s="43" t="s">
        <v>63</v>
      </c>
      <c r="B43" s="42" t="s">
        <v>85</v>
      </c>
      <c r="C43" s="43" t="s">
        <v>63</v>
      </c>
      <c r="D43" s="43">
        <f t="shared" si="8"/>
        <v>0</v>
      </c>
      <c r="E43" s="43">
        <f t="shared" si="1"/>
        <v>0</v>
      </c>
      <c r="F43" s="43">
        <f t="shared" si="2"/>
        <v>0</v>
      </c>
      <c r="G43" s="43">
        <f t="shared" si="3"/>
        <v>0</v>
      </c>
      <c r="H43" s="43">
        <f t="shared" si="4"/>
        <v>0</v>
      </c>
      <c r="I43" s="43">
        <f t="shared" si="5"/>
        <v>0</v>
      </c>
      <c r="J43" s="43">
        <f t="shared" si="6"/>
        <v>0</v>
      </c>
      <c r="K43" s="43">
        <f t="shared" si="7"/>
        <v>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6.2">
      <c r="A44" s="43" t="s">
        <v>45</v>
      </c>
      <c r="B44" s="42" t="s">
        <v>86</v>
      </c>
      <c r="C44" s="43" t="s">
        <v>45</v>
      </c>
      <c r="D44" s="43">
        <f t="shared" si="8"/>
        <v>0</v>
      </c>
      <c r="E44" s="43">
        <f t="shared" si="1"/>
        <v>0</v>
      </c>
      <c r="F44" s="43">
        <f t="shared" si="2"/>
        <v>0</v>
      </c>
      <c r="G44" s="43">
        <f t="shared" si="3"/>
        <v>0</v>
      </c>
      <c r="H44" s="43">
        <f t="shared" si="4"/>
        <v>0</v>
      </c>
      <c r="I44" s="43">
        <f t="shared" si="5"/>
        <v>0</v>
      </c>
      <c r="J44" s="43">
        <f t="shared" si="6"/>
        <v>0</v>
      </c>
      <c r="K44" s="43">
        <f t="shared" si="7"/>
        <v>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6.2">
      <c r="A45" s="43" t="s">
        <v>21</v>
      </c>
      <c r="B45" s="42" t="s">
        <v>87</v>
      </c>
      <c r="C45" s="43" t="s">
        <v>21</v>
      </c>
      <c r="D45" s="43">
        <f t="shared" si="8"/>
        <v>0</v>
      </c>
      <c r="E45" s="43">
        <f t="shared" si="1"/>
        <v>0</v>
      </c>
      <c r="F45" s="43">
        <f t="shared" si="2"/>
        <v>0</v>
      </c>
      <c r="G45" s="43">
        <f t="shared" si="3"/>
        <v>0</v>
      </c>
      <c r="H45" s="43">
        <f t="shared" si="4"/>
        <v>0</v>
      </c>
      <c r="I45" s="43">
        <f t="shared" si="5"/>
        <v>0</v>
      </c>
      <c r="J45" s="43">
        <f t="shared" si="6"/>
        <v>0</v>
      </c>
      <c r="K45" s="43">
        <f t="shared" si="7"/>
        <v>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6.2">
      <c r="A46" s="43" t="s">
        <v>15</v>
      </c>
      <c r="B46" s="42" t="s">
        <v>88</v>
      </c>
      <c r="C46" s="43" t="s">
        <v>15</v>
      </c>
      <c r="D46" s="43">
        <f t="shared" si="8"/>
        <v>0</v>
      </c>
      <c r="E46" s="43">
        <f t="shared" si="1"/>
        <v>0</v>
      </c>
      <c r="F46" s="43">
        <f t="shared" si="2"/>
        <v>0</v>
      </c>
      <c r="G46" s="43">
        <f t="shared" si="3"/>
        <v>0</v>
      </c>
      <c r="H46" s="43">
        <f t="shared" si="4"/>
        <v>0</v>
      </c>
      <c r="I46" s="43">
        <f t="shared" si="5"/>
        <v>0</v>
      </c>
      <c r="J46" s="43">
        <f t="shared" si="6"/>
        <v>0</v>
      </c>
      <c r="K46" s="43">
        <f t="shared" si="7"/>
        <v>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6.2">
      <c r="A47" s="43" t="s">
        <v>33</v>
      </c>
      <c r="B47" s="42" t="s">
        <v>89</v>
      </c>
      <c r="C47" s="43" t="s">
        <v>33</v>
      </c>
      <c r="D47" s="43">
        <f t="shared" si="8"/>
        <v>0</v>
      </c>
      <c r="E47" s="43">
        <f t="shared" si="1"/>
        <v>0</v>
      </c>
      <c r="F47" s="43">
        <f t="shared" si="2"/>
        <v>0</v>
      </c>
      <c r="G47" s="43">
        <f t="shared" si="3"/>
        <v>0</v>
      </c>
      <c r="H47" s="43">
        <f t="shared" si="4"/>
        <v>0</v>
      </c>
      <c r="I47" s="43">
        <f t="shared" si="5"/>
        <v>0</v>
      </c>
      <c r="J47" s="43">
        <f t="shared" si="6"/>
        <v>0</v>
      </c>
      <c r="K47" s="43">
        <f t="shared" si="7"/>
        <v>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6.2">
      <c r="A48" s="43" t="s">
        <v>68</v>
      </c>
      <c r="B48" s="42" t="s">
        <v>90</v>
      </c>
      <c r="C48" s="43" t="s">
        <v>68</v>
      </c>
      <c r="D48" s="43">
        <f t="shared" si="8"/>
        <v>0</v>
      </c>
      <c r="E48" s="43">
        <f t="shared" si="1"/>
        <v>0</v>
      </c>
      <c r="F48" s="43">
        <f t="shared" si="2"/>
        <v>0</v>
      </c>
      <c r="G48" s="43">
        <f t="shared" si="3"/>
        <v>0</v>
      </c>
      <c r="H48" s="43">
        <f t="shared" si="4"/>
        <v>0</v>
      </c>
      <c r="I48" s="43">
        <f t="shared" si="5"/>
        <v>0</v>
      </c>
      <c r="J48" s="43">
        <f t="shared" si="6"/>
        <v>0</v>
      </c>
      <c r="K48" s="43">
        <f t="shared" si="7"/>
        <v>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7.399999999999999">
      <c r="A49" s="45" t="s">
        <v>38</v>
      </c>
      <c r="B49" s="44" t="s">
        <v>91</v>
      </c>
      <c r="C49" s="45" t="s">
        <v>38</v>
      </c>
      <c r="D49" s="43">
        <f t="shared" si="8"/>
        <v>0</v>
      </c>
      <c r="E49" s="43">
        <f t="shared" si="1"/>
        <v>0</v>
      </c>
      <c r="F49" s="43">
        <f t="shared" si="2"/>
        <v>0</v>
      </c>
      <c r="G49" s="43">
        <f t="shared" si="3"/>
        <v>0</v>
      </c>
      <c r="H49" s="43">
        <f t="shared" si="4"/>
        <v>0</v>
      </c>
      <c r="I49" s="43">
        <f t="shared" si="5"/>
        <v>0</v>
      </c>
      <c r="J49" s="43">
        <f t="shared" si="6"/>
        <v>0</v>
      </c>
      <c r="K49" s="43">
        <f t="shared" si="7"/>
        <v>0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7.399999999999999">
      <c r="A50" s="45" t="s">
        <v>51</v>
      </c>
      <c r="B50" s="44" t="s">
        <v>92</v>
      </c>
      <c r="C50" s="45" t="s">
        <v>51</v>
      </c>
      <c r="D50" s="43">
        <f t="shared" si="8"/>
        <v>0</v>
      </c>
      <c r="E50" s="43">
        <f t="shared" si="1"/>
        <v>0</v>
      </c>
      <c r="F50" s="43">
        <f t="shared" si="2"/>
        <v>0</v>
      </c>
      <c r="G50" s="43">
        <f t="shared" si="3"/>
        <v>0</v>
      </c>
      <c r="H50" s="43">
        <f t="shared" si="4"/>
        <v>0</v>
      </c>
      <c r="I50" s="43">
        <f t="shared" si="5"/>
        <v>0</v>
      </c>
      <c r="J50" s="43">
        <f t="shared" si="6"/>
        <v>0</v>
      </c>
      <c r="K50" s="43">
        <f t="shared" si="7"/>
        <v>0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6.2">
      <c r="A51" s="43" t="s">
        <v>16</v>
      </c>
      <c r="B51" s="42" t="s">
        <v>93</v>
      </c>
      <c r="C51" s="43" t="s">
        <v>16</v>
      </c>
      <c r="D51" s="43">
        <f t="shared" si="8"/>
        <v>0</v>
      </c>
      <c r="E51" s="43">
        <f t="shared" si="1"/>
        <v>0</v>
      </c>
      <c r="F51" s="43">
        <f t="shared" si="2"/>
        <v>0</v>
      </c>
      <c r="G51" s="43">
        <f t="shared" si="3"/>
        <v>0</v>
      </c>
      <c r="H51" s="43">
        <f t="shared" si="4"/>
        <v>0</v>
      </c>
      <c r="I51" s="43">
        <f t="shared" si="5"/>
        <v>0</v>
      </c>
      <c r="J51" s="43">
        <f t="shared" si="6"/>
        <v>0</v>
      </c>
      <c r="K51" s="43">
        <f t="shared" si="7"/>
        <v>0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6.2">
      <c r="A52" s="43" t="s">
        <v>17</v>
      </c>
      <c r="B52" s="42" t="s">
        <v>94</v>
      </c>
      <c r="C52" s="43" t="s">
        <v>17</v>
      </c>
      <c r="D52" s="43">
        <f t="shared" si="8"/>
        <v>0</v>
      </c>
      <c r="E52" s="43">
        <f t="shared" si="1"/>
        <v>0</v>
      </c>
      <c r="F52" s="43">
        <f t="shared" si="2"/>
        <v>0</v>
      </c>
      <c r="G52" s="43">
        <f t="shared" si="3"/>
        <v>0</v>
      </c>
      <c r="H52" s="43">
        <f t="shared" si="4"/>
        <v>0</v>
      </c>
      <c r="I52" s="43">
        <f t="shared" si="5"/>
        <v>0</v>
      </c>
      <c r="J52" s="43">
        <f t="shared" si="6"/>
        <v>0</v>
      </c>
      <c r="K52" s="43">
        <f t="shared" si="7"/>
        <v>0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6.2">
      <c r="A53" s="43" t="s">
        <v>22</v>
      </c>
      <c r="B53" s="42" t="s">
        <v>95</v>
      </c>
      <c r="C53" s="43" t="s">
        <v>22</v>
      </c>
      <c r="D53" s="43">
        <f t="shared" si="8"/>
        <v>0</v>
      </c>
      <c r="E53" s="43">
        <f t="shared" si="1"/>
        <v>0</v>
      </c>
      <c r="F53" s="43">
        <f t="shared" si="2"/>
        <v>0</v>
      </c>
      <c r="G53" s="43">
        <f t="shared" si="3"/>
        <v>0</v>
      </c>
      <c r="H53" s="43">
        <f t="shared" si="4"/>
        <v>0</v>
      </c>
      <c r="I53" s="43">
        <f t="shared" si="5"/>
        <v>0</v>
      </c>
      <c r="J53" s="43">
        <f t="shared" si="6"/>
        <v>0</v>
      </c>
      <c r="K53" s="43">
        <f t="shared" si="7"/>
        <v>0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6.2">
      <c r="A54" s="43" t="s">
        <v>64</v>
      </c>
      <c r="B54" s="42" t="s">
        <v>96</v>
      </c>
      <c r="C54" s="43" t="s">
        <v>64</v>
      </c>
      <c r="D54" s="43">
        <f t="shared" si="8"/>
        <v>0</v>
      </c>
      <c r="E54" s="43">
        <f t="shared" si="1"/>
        <v>0</v>
      </c>
      <c r="F54" s="43">
        <f t="shared" si="2"/>
        <v>0</v>
      </c>
      <c r="G54" s="43">
        <f t="shared" si="3"/>
        <v>0</v>
      </c>
      <c r="H54" s="43">
        <f t="shared" si="4"/>
        <v>0</v>
      </c>
      <c r="I54" s="43">
        <f t="shared" si="5"/>
        <v>0</v>
      </c>
      <c r="J54" s="43">
        <f t="shared" si="6"/>
        <v>0</v>
      </c>
      <c r="K54" s="43">
        <f t="shared" si="7"/>
        <v>0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6.2">
      <c r="A55" s="43" t="s">
        <v>18</v>
      </c>
      <c r="B55" s="42" t="s">
        <v>97</v>
      </c>
      <c r="C55" s="43" t="s">
        <v>18</v>
      </c>
      <c r="D55" s="43">
        <f t="shared" si="8"/>
        <v>0</v>
      </c>
      <c r="E55" s="43">
        <f t="shared" si="1"/>
        <v>0</v>
      </c>
      <c r="F55" s="43">
        <f t="shared" si="2"/>
        <v>0</v>
      </c>
      <c r="G55" s="43">
        <f t="shared" si="3"/>
        <v>0</v>
      </c>
      <c r="H55" s="43">
        <f t="shared" si="4"/>
        <v>0</v>
      </c>
      <c r="I55" s="43">
        <f t="shared" si="5"/>
        <v>0</v>
      </c>
      <c r="J55" s="43">
        <f t="shared" si="6"/>
        <v>0</v>
      </c>
      <c r="K55" s="43">
        <f t="shared" si="7"/>
        <v>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6.2">
      <c r="A56" s="43" t="s">
        <v>27</v>
      </c>
      <c r="B56" s="42" t="s">
        <v>98</v>
      </c>
      <c r="C56" s="43" t="s">
        <v>27</v>
      </c>
      <c r="D56" s="43">
        <f t="shared" si="8"/>
        <v>0</v>
      </c>
      <c r="E56" s="43">
        <f t="shared" si="1"/>
        <v>0</v>
      </c>
      <c r="F56" s="43">
        <f t="shared" si="2"/>
        <v>0</v>
      </c>
      <c r="G56" s="43">
        <f t="shared" si="3"/>
        <v>0</v>
      </c>
      <c r="H56" s="43">
        <f t="shared" si="4"/>
        <v>0</v>
      </c>
      <c r="I56" s="43">
        <f t="shared" si="5"/>
        <v>0</v>
      </c>
      <c r="J56" s="43">
        <f t="shared" si="6"/>
        <v>0</v>
      </c>
      <c r="K56" s="43">
        <f t="shared" si="7"/>
        <v>0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6.2">
      <c r="A57" s="43" t="s">
        <v>57</v>
      </c>
      <c r="B57" s="42" t="s">
        <v>99</v>
      </c>
      <c r="C57" s="43" t="s">
        <v>57</v>
      </c>
      <c r="D57" s="43">
        <f t="shared" si="8"/>
        <v>0</v>
      </c>
      <c r="E57" s="43">
        <f t="shared" si="1"/>
        <v>0</v>
      </c>
      <c r="F57" s="43">
        <f t="shared" si="2"/>
        <v>0</v>
      </c>
      <c r="G57" s="43">
        <f t="shared" si="3"/>
        <v>0</v>
      </c>
      <c r="H57" s="43">
        <f t="shared" si="4"/>
        <v>0</v>
      </c>
      <c r="I57" s="43">
        <f t="shared" si="5"/>
        <v>0</v>
      </c>
      <c r="J57" s="43">
        <f t="shared" si="6"/>
        <v>0</v>
      </c>
      <c r="K57" s="43">
        <f t="shared" si="7"/>
        <v>0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6.2">
      <c r="A58" s="43" t="s">
        <v>23</v>
      </c>
      <c r="B58" s="42" t="s">
        <v>100</v>
      </c>
      <c r="C58" s="43" t="s">
        <v>23</v>
      </c>
      <c r="D58" s="43">
        <f t="shared" si="8"/>
        <v>0</v>
      </c>
      <c r="E58" s="43">
        <f t="shared" si="1"/>
        <v>0</v>
      </c>
      <c r="F58" s="43">
        <f t="shared" si="2"/>
        <v>0</v>
      </c>
      <c r="G58" s="43">
        <f t="shared" si="3"/>
        <v>0</v>
      </c>
      <c r="H58" s="43">
        <f t="shared" si="4"/>
        <v>0</v>
      </c>
      <c r="I58" s="43">
        <f t="shared" si="5"/>
        <v>0</v>
      </c>
      <c r="J58" s="43">
        <f t="shared" si="6"/>
        <v>0</v>
      </c>
      <c r="K58" s="43">
        <f t="shared" si="7"/>
        <v>0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6.2">
      <c r="A59" s="43" t="s">
        <v>34</v>
      </c>
      <c r="B59" s="42" t="s">
        <v>101</v>
      </c>
      <c r="C59" s="43" t="s">
        <v>34</v>
      </c>
      <c r="D59" s="43">
        <f t="shared" si="8"/>
        <v>0</v>
      </c>
      <c r="E59" s="43">
        <f t="shared" si="1"/>
        <v>0</v>
      </c>
      <c r="F59" s="43">
        <f t="shared" si="2"/>
        <v>0</v>
      </c>
      <c r="G59" s="43">
        <f t="shared" si="3"/>
        <v>0</v>
      </c>
      <c r="H59" s="43">
        <f t="shared" si="4"/>
        <v>0</v>
      </c>
      <c r="I59" s="43">
        <f t="shared" si="5"/>
        <v>0</v>
      </c>
      <c r="J59" s="43">
        <f t="shared" si="6"/>
        <v>0</v>
      </c>
      <c r="K59" s="43">
        <f t="shared" si="7"/>
        <v>0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6.2">
      <c r="A60" s="43" t="s">
        <v>30</v>
      </c>
      <c r="B60" s="42" t="s">
        <v>102</v>
      </c>
      <c r="C60" s="43" t="s">
        <v>30</v>
      </c>
      <c r="D60" s="43">
        <f t="shared" si="8"/>
        <v>0</v>
      </c>
      <c r="E60" s="43">
        <f t="shared" si="1"/>
        <v>0</v>
      </c>
      <c r="F60" s="43">
        <f t="shared" si="2"/>
        <v>0</v>
      </c>
      <c r="G60" s="43">
        <f t="shared" si="3"/>
        <v>0</v>
      </c>
      <c r="H60" s="43">
        <f t="shared" si="4"/>
        <v>0</v>
      </c>
      <c r="I60" s="43">
        <f t="shared" si="5"/>
        <v>0</v>
      </c>
      <c r="J60" s="43">
        <f t="shared" si="6"/>
        <v>0</v>
      </c>
      <c r="K60" s="43">
        <f t="shared" si="7"/>
        <v>0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6.2">
      <c r="A61" s="43" t="s">
        <v>35</v>
      </c>
      <c r="B61" s="42" t="s">
        <v>103</v>
      </c>
      <c r="C61" s="43" t="s">
        <v>35</v>
      </c>
      <c r="D61" s="43">
        <f t="shared" si="8"/>
        <v>0</v>
      </c>
      <c r="E61" s="43">
        <f t="shared" si="1"/>
        <v>0</v>
      </c>
      <c r="F61" s="43">
        <f t="shared" si="2"/>
        <v>0</v>
      </c>
      <c r="G61" s="43">
        <f t="shared" si="3"/>
        <v>0</v>
      </c>
      <c r="H61" s="43">
        <f t="shared" si="4"/>
        <v>0</v>
      </c>
      <c r="I61" s="43">
        <f t="shared" si="5"/>
        <v>0</v>
      </c>
      <c r="J61" s="43">
        <f t="shared" si="6"/>
        <v>0</v>
      </c>
      <c r="K61" s="43">
        <f t="shared" si="7"/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6.2">
      <c r="A62" s="43" t="s">
        <v>39</v>
      </c>
      <c r="B62" s="42" t="s">
        <v>104</v>
      </c>
      <c r="C62" s="43" t="s">
        <v>39</v>
      </c>
      <c r="D62" s="43">
        <f t="shared" si="8"/>
        <v>0</v>
      </c>
      <c r="E62" s="43">
        <f t="shared" si="1"/>
        <v>0</v>
      </c>
      <c r="F62" s="43">
        <f t="shared" si="2"/>
        <v>0</v>
      </c>
      <c r="G62" s="43">
        <f t="shared" si="3"/>
        <v>0</v>
      </c>
      <c r="H62" s="43">
        <f t="shared" si="4"/>
        <v>0</v>
      </c>
      <c r="I62" s="43">
        <f t="shared" si="5"/>
        <v>0</v>
      </c>
      <c r="J62" s="43">
        <f t="shared" si="6"/>
        <v>0</v>
      </c>
      <c r="K62" s="43">
        <f t="shared" si="7"/>
        <v>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6.2">
      <c r="A63" s="43" t="s">
        <v>46</v>
      </c>
      <c r="B63" s="42" t="s">
        <v>105</v>
      </c>
      <c r="C63" s="43" t="s">
        <v>46</v>
      </c>
      <c r="D63" s="43">
        <f t="shared" si="8"/>
        <v>0</v>
      </c>
      <c r="E63" s="43">
        <f t="shared" si="1"/>
        <v>0</v>
      </c>
      <c r="F63" s="43">
        <f t="shared" si="2"/>
        <v>0</v>
      </c>
      <c r="G63" s="43">
        <f t="shared" si="3"/>
        <v>0</v>
      </c>
      <c r="H63" s="43">
        <f t="shared" si="4"/>
        <v>0</v>
      </c>
      <c r="I63" s="43">
        <f t="shared" si="5"/>
        <v>0</v>
      </c>
      <c r="J63" s="43">
        <f t="shared" si="6"/>
        <v>0</v>
      </c>
      <c r="K63" s="43">
        <f t="shared" si="7"/>
        <v>0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6.2">
      <c r="A64" s="43" t="s">
        <v>31</v>
      </c>
      <c r="B64" s="42" t="s">
        <v>106</v>
      </c>
      <c r="C64" s="43" t="s">
        <v>31</v>
      </c>
      <c r="D64" s="43">
        <f t="shared" si="8"/>
        <v>0</v>
      </c>
      <c r="E64" s="43">
        <f t="shared" si="1"/>
        <v>0</v>
      </c>
      <c r="F64" s="43">
        <f t="shared" si="2"/>
        <v>0</v>
      </c>
      <c r="G64" s="43">
        <f t="shared" si="3"/>
        <v>0</v>
      </c>
      <c r="H64" s="43">
        <f t="shared" si="4"/>
        <v>0</v>
      </c>
      <c r="I64" s="43">
        <f t="shared" si="5"/>
        <v>0</v>
      </c>
      <c r="J64" s="43">
        <f t="shared" si="6"/>
        <v>0</v>
      </c>
      <c r="K64" s="43">
        <f t="shared" si="7"/>
        <v>0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6.2">
      <c r="A65" s="43" t="s">
        <v>40</v>
      </c>
      <c r="B65" s="42" t="s">
        <v>107</v>
      </c>
      <c r="C65" s="43" t="s">
        <v>40</v>
      </c>
      <c r="D65" s="43">
        <f t="shared" si="8"/>
        <v>0</v>
      </c>
      <c r="E65" s="43">
        <f t="shared" si="1"/>
        <v>0</v>
      </c>
      <c r="F65" s="43">
        <f t="shared" si="2"/>
        <v>0</v>
      </c>
      <c r="G65" s="43">
        <f t="shared" si="3"/>
        <v>0</v>
      </c>
      <c r="H65" s="43">
        <f t="shared" si="4"/>
        <v>0</v>
      </c>
      <c r="I65" s="43">
        <f t="shared" si="5"/>
        <v>0</v>
      </c>
      <c r="J65" s="43">
        <f t="shared" si="6"/>
        <v>0</v>
      </c>
      <c r="K65" s="43">
        <f t="shared" si="7"/>
        <v>0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6.2">
      <c r="A66" s="43" t="s">
        <v>24</v>
      </c>
      <c r="B66" s="42" t="s">
        <v>108</v>
      </c>
      <c r="C66" s="43" t="s">
        <v>24</v>
      </c>
      <c r="D66" s="43">
        <f t="shared" si="8"/>
        <v>0</v>
      </c>
      <c r="E66" s="43">
        <f t="shared" si="1"/>
        <v>0</v>
      </c>
      <c r="F66" s="43">
        <f t="shared" si="2"/>
        <v>0</v>
      </c>
      <c r="G66" s="43">
        <f t="shared" si="3"/>
        <v>0</v>
      </c>
      <c r="H66" s="43">
        <f t="shared" si="4"/>
        <v>0</v>
      </c>
      <c r="I66" s="43">
        <f t="shared" si="5"/>
        <v>0</v>
      </c>
      <c r="J66" s="43">
        <f t="shared" si="6"/>
        <v>0</v>
      </c>
      <c r="K66" s="43">
        <f t="shared" si="7"/>
        <v>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6.2">
      <c r="A67" s="43" t="s">
        <v>41</v>
      </c>
      <c r="B67" s="42" t="s">
        <v>109</v>
      </c>
      <c r="C67" s="43" t="s">
        <v>41</v>
      </c>
      <c r="D67" s="43">
        <f t="shared" si="8"/>
        <v>0</v>
      </c>
      <c r="E67" s="43">
        <f t="shared" si="1"/>
        <v>0</v>
      </c>
      <c r="F67" s="43">
        <f t="shared" si="2"/>
        <v>0</v>
      </c>
      <c r="G67" s="43">
        <f t="shared" si="3"/>
        <v>0</v>
      </c>
      <c r="H67" s="43">
        <f t="shared" si="4"/>
        <v>0</v>
      </c>
      <c r="I67" s="43">
        <f t="shared" si="5"/>
        <v>0</v>
      </c>
      <c r="J67" s="43">
        <f t="shared" si="6"/>
        <v>0</v>
      </c>
      <c r="K67" s="43">
        <f t="shared" si="7"/>
        <v>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6.2">
      <c r="A68" s="43" t="s">
        <v>71</v>
      </c>
      <c r="B68" s="42" t="s">
        <v>110</v>
      </c>
      <c r="C68" s="43" t="s">
        <v>71</v>
      </c>
      <c r="D68" s="43">
        <f t="shared" si="8"/>
        <v>0</v>
      </c>
      <c r="E68" s="43">
        <f t="shared" si="1"/>
        <v>0</v>
      </c>
      <c r="F68" s="43">
        <f t="shared" si="2"/>
        <v>0</v>
      </c>
      <c r="G68" s="43">
        <f t="shared" si="3"/>
        <v>0</v>
      </c>
      <c r="H68" s="43">
        <f t="shared" si="4"/>
        <v>0</v>
      </c>
      <c r="I68" s="43">
        <f t="shared" si="5"/>
        <v>0</v>
      </c>
      <c r="J68" s="43">
        <f t="shared" si="6"/>
        <v>0</v>
      </c>
      <c r="K68" s="43">
        <f t="shared" si="7"/>
        <v>0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71" spans="1:29" ht="16.2">
      <c r="A71" s="2"/>
      <c r="B71" s="1"/>
      <c r="C71" s="2"/>
      <c r="D71" s="2"/>
      <c r="E71" s="2"/>
      <c r="F71" s="2"/>
      <c r="G71" s="2"/>
      <c r="H71" s="2"/>
      <c r="I71" s="2"/>
      <c r="J71" s="2"/>
      <c r="K71" s="2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6.2">
      <c r="A72" s="2"/>
      <c r="B72" s="1"/>
      <c r="C72" s="2"/>
      <c r="D72" s="2"/>
      <c r="E72" s="2"/>
      <c r="F72" s="2"/>
      <c r="G72" s="2"/>
      <c r="H72" s="2"/>
      <c r="I72" s="2"/>
      <c r="J72" s="2"/>
      <c r="K72" s="2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6.2">
      <c r="A73" s="2"/>
      <c r="B73" s="1"/>
      <c r="C73" s="2"/>
      <c r="D73" s="2"/>
      <c r="E73" s="2"/>
      <c r="F73" s="2"/>
      <c r="G73" s="2"/>
      <c r="H73" s="2"/>
      <c r="I73" s="2"/>
      <c r="J73" s="2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6.2">
      <c r="A74" s="2"/>
      <c r="B74" s="1"/>
      <c r="C74" s="2"/>
      <c r="D74" s="2"/>
      <c r="E74" s="2"/>
      <c r="F74" s="2"/>
      <c r="G74" s="2"/>
      <c r="H74" s="2"/>
      <c r="I74" s="2"/>
      <c r="J74" s="2"/>
      <c r="K74" s="2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6.2">
      <c r="A75" s="2"/>
      <c r="B75" s="1"/>
      <c r="C75" s="2"/>
      <c r="D75" s="2"/>
      <c r="E75" s="2"/>
      <c r="F75" s="2"/>
      <c r="G75" s="2"/>
      <c r="H75" s="2"/>
      <c r="I75" s="2"/>
      <c r="J75" s="2"/>
      <c r="K75" s="2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6.2">
      <c r="A76" s="2"/>
      <c r="B76" s="1"/>
      <c r="C76" s="2"/>
      <c r="D76" s="2"/>
      <c r="E76" s="2"/>
      <c r="F76" s="2"/>
      <c r="G76" s="2"/>
      <c r="H76" s="2"/>
      <c r="I76" s="2"/>
      <c r="J76" s="2"/>
      <c r="K76" s="2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6.2">
      <c r="A77" s="2"/>
      <c r="B77" s="1"/>
      <c r="C77" s="2"/>
      <c r="D77" s="2"/>
      <c r="E77" s="2"/>
      <c r="F77" s="2"/>
      <c r="G77" s="2"/>
      <c r="H77" s="2"/>
      <c r="I77" s="2"/>
      <c r="J77" s="2"/>
      <c r="K77" s="2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6.2">
      <c r="A78" s="2"/>
      <c r="B78" s="1"/>
      <c r="C78" s="2"/>
      <c r="D78" s="2"/>
      <c r="E78" s="2"/>
      <c r="F78" s="2"/>
      <c r="G78" s="2"/>
      <c r="H78" s="2"/>
      <c r="I78" s="2"/>
      <c r="J78" s="2"/>
      <c r="K78" s="2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6.2">
      <c r="A79" s="2"/>
      <c r="B79" s="1"/>
      <c r="C79" s="2"/>
      <c r="D79" s="2"/>
      <c r="E79" s="2"/>
      <c r="F79" s="2"/>
      <c r="G79" s="2"/>
      <c r="H79" s="2"/>
      <c r="I79" s="2"/>
      <c r="J79" s="2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6.2">
      <c r="A80" s="2"/>
      <c r="B80" s="1"/>
      <c r="C80" s="2"/>
      <c r="D80" s="2"/>
      <c r="E80" s="2"/>
      <c r="F80" s="2"/>
      <c r="G80" s="2"/>
      <c r="H80" s="2"/>
      <c r="I80" s="2"/>
      <c r="J80" s="2"/>
      <c r="K80" s="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6.2">
      <c r="A81" s="2"/>
      <c r="B81" s="1"/>
      <c r="C81" s="2"/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6.2">
      <c r="A82" s="2"/>
      <c r="B82" s="1"/>
      <c r="C82" s="2"/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6.2">
      <c r="A83" s="2"/>
      <c r="B83" s="1"/>
      <c r="C83" s="2"/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6.2">
      <c r="A84" s="2"/>
      <c r="B84" s="1"/>
      <c r="C84" s="2"/>
      <c r="D84" s="2"/>
      <c r="E84" s="2"/>
      <c r="F84" s="2"/>
      <c r="G84" s="2"/>
      <c r="H84" s="2"/>
      <c r="I84" s="2"/>
      <c r="J84" s="2"/>
      <c r="K84" s="2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6.2">
      <c r="A85" s="2"/>
      <c r="B85" s="1"/>
      <c r="C85" s="2"/>
      <c r="D85" s="2"/>
      <c r="E85" s="2"/>
      <c r="F85" s="2"/>
      <c r="G85" s="2"/>
      <c r="H85" s="2"/>
      <c r="I85" s="2"/>
      <c r="J85" s="2"/>
      <c r="K85" s="2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6.2">
      <c r="A86" s="2"/>
      <c r="B86" s="1"/>
      <c r="C86" s="2"/>
      <c r="D86" s="2"/>
      <c r="E86" s="2"/>
      <c r="F86" s="2"/>
      <c r="G86" s="2"/>
      <c r="H86" s="2"/>
      <c r="I86" s="2"/>
      <c r="J86" s="2"/>
      <c r="K86" s="2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6.2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6.2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6.2">
      <c r="A89" s="2"/>
      <c r="B89" s="1"/>
      <c r="C89" s="2"/>
      <c r="D89" s="2"/>
      <c r="E89" s="2"/>
      <c r="F89" s="2"/>
      <c r="G89" s="2"/>
      <c r="H89" s="2"/>
      <c r="I89" s="2"/>
      <c r="J89" s="2"/>
      <c r="K89" s="2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6.2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6.2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6.2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6.2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6.2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6.2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6.2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6.2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6.2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6.2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6.2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6.2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6.2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6.2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6.2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6.2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6.2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6.2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6.2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6.2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6.2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6.2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6.2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6.2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6.2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6.2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6.2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6.2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6.2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6.2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6.2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6.2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6.2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6.2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6.2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6.2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6.2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6.2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6.2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6.2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6.2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6.2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6.2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6.2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6.2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6.2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6.2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6.2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6.2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6.2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6.2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6.2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6.2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6.2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6.2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6.2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6.2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6.2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6.2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6.2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6.2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6.2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6.2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6.2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6.2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6.2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6.2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6.2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6.2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6.2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6.2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6.2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6.2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6.2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6.2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6.2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6.2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6.2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6.2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6.2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6.2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6.2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6.2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6.2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6.2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6.2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6.2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6.2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6.2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6.2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6.2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6.2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6.2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6.2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6.2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6.2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6.2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6.2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6.2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6.2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6.2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6.2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6.2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6.2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6.2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6.2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6.2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6.2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6.2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6.2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6.2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6.2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6.2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6.2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6.2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6.2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6.2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6.2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6.2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6.2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6.2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6.2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6.2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6.2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6.2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6.2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6.2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6.2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6.2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6.2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6.2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6.2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6.2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6.2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6.2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6.2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6.2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6.2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6.2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6.2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6.2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6.2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6.2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6.2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6.2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6.2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6.2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6.2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6.2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6.2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6.2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6.2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6.2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6.2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6.2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6.2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6.2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6.2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6.2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6.2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6.2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6.2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6.2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6.2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6.2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6.2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6.2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6.2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6.2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6.2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6.2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6.2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6.2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6.2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6.2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6.2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6.2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6.2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6.2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6.2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6.2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6.2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6.2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6.2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6.2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6.2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6.2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6.2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6.2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6.2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6.2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6.2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6.2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6.2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6.2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6.2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6.2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6.2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6.2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6.2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6.2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6.2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6.2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6.2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6.2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6.2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6.2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6.2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6.2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6.2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6.2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6.2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6.2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6.2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6.2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6.2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6.2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6.2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6.2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6.2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6.2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6.2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6.2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6.2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6.2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6.2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6.2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6.2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6.2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6.2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6.2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6.2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6.2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6.2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6.2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6.2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6.2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6.2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6.2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6.2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6.2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6.2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6.2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6.2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6.2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6.2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6.2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6.2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6.2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6.2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6.2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6.2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6.2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6.2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6.2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6.2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6.2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6.2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6.2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6.2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6.2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6.2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6.2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6.2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6.2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6.2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6.2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6.2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6.2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6.2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6.2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6.2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6.2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6.2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6.2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6.2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6.2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6.2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6.2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6.2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6.2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6.2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6.2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6.2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6.2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6.2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6.2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6.2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6.2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6.2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6.2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6.2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6.2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6.2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6.2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6.2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6.2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6.2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6.2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6.2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6.2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6.2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6.2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6.2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6.2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6.2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6.2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6.2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6.2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6.2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6.2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6.2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6.2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6.2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6.2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6.2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6.2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6.2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6.2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6.2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6.2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6.2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6.2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6.2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6.2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6.2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6.2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6.2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6.2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6.2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6.2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6.2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6.2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6.2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6.2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6.2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6.2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6.2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6.2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6.2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6.2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6.2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6.2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6.2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6.2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6.2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6.2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6.2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6.2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6.2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6.2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6.2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6.2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6.2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6.2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6.2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6.2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6.2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6.2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6.2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6.2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6.2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6.2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6.2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6.2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6.2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6.2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6.2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6.2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6.2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6.2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6.2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6.2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6.2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6.2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6.2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6.2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6.2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6.2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6.2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6.2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6.2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6.2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6.2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6.2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6.2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6.2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6.2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6.2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6.2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6.2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6.2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6.2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6.2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6.2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6.2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6.2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6.2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6.2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6.2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6.2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6.2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6.2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6.2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6.2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6.2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6.2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6.2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6.2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6.2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6.2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6.2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6.2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6.2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6.2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6.2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6.2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6.2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6.2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6.2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6.2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6.2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6.2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6.2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6.2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6.2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6.2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6.2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6.2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6.2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6.2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6.2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6.2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6.2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6.2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6.2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6.2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6.2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6.2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6.2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6.2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6.2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6.2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6.2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6.2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6.2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6.2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6.2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6.2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6.2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6.2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6.2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6.2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6.2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6.2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6.2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6.2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6.2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6.2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6.2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6.2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6.2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6.2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6.2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6.2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6.2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6.2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6.2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6.2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6.2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6.2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6.2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6.2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6.2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6.2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6.2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6.2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6.2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6.2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6.2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6.2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6.2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6.2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6.2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6.2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6.2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6.2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6.2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6.2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6.2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6.2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6.2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6.2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6.2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6.2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6.2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6.2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6.2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6.2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6.2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6.2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6.2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6.2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6.2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6.2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6.2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6.2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6.2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6.2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6.2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6.2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6.2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6.2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6.2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6.2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6.2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6.2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6.2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6.2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6.2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6.2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6.2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6.2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6.2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6.2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6.2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6.2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6.2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6.2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6.2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6.2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6.2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6.2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6.2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6.2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6.2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6.2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6.2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6.2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6.2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6.2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6.2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6.2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6.2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6.2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6.2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6.2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6.2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6.2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6.2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6.2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6.2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6.2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6.2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6.2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6.2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6.2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6.2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6.2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6.2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6.2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6.2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6.2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6.2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6.2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6.2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6.2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6.2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6.2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6.2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6.2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6.2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6.2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6.2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6.2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6.2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6.2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6.2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6.2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6.2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6.2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6.2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6.2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6.2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6.2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6.2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6.2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6.2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6.2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6.2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6.2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6.2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6.2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6.2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6.2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6.2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6.2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6.2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6.2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6.2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6.2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6.2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6.2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6.2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6.2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6.2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6.2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6.2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6.2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6.2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6.2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6.2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6.2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6.2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6.2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6.2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6.2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6.2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6.2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6.2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6.2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6.2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6.2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6.2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6.2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6.2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6.2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6.2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6.2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6.2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6.2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6.2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6.2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6.2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6.2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6.2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6.2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6.2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6.2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6.2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6.2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6.2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6.2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6.2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6.2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6.2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6.2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6.2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6.2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6.2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6.2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6.2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6.2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6.2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6.2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6.2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6.2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6.2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6.2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6.2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6.2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6.2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6.2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6.2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6.2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6.2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6.2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6.2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6.2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6.2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6.2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6.2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6.2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6.2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6.2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6.2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6.2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6.2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6.2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6.2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6.2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6.2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6.2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6.2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6.2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6.2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6.2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6.2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6.2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6.2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6.2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6.2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6.2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6.2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6.2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6.2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6.2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6.2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6.2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6.2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6.2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6.2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6.2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6.2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6.2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6.2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6.2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6.2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6.2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6.2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6.2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6.2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6.2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6.2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6.2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6.2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6.2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6.2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6.2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6.2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6.2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6.2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6.2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6.2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6.2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6.2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6.2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6.2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6.2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6.2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6.2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6.2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6.2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6.2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6.2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6.2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6.2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6.2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6.2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6.2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6.2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6.2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6.2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6.2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6.2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6.2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6.2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6.2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6.2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6.2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6.2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6.2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6.2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6.2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6.2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6.2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6.2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6.2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6.2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6.2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6.2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6.2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6.2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6.2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6.2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6.2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6.2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6.2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6.2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6.2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6.2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6.2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6.2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6.2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6.2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6.2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6.2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6.2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6.2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6.2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6.2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6.2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6.2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6.2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6.2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6.2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6.2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6.2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6.2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6.2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6.2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6.2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6.2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6.2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6.2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6.2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6.2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6.2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6.2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6.2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6.2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6.2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6.2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6.2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6.2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6.2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6.2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6.2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6.2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6.2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6.2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6.2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6.2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6.2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6.2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6.2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6.2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6.2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6.2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6.2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6.2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6.2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6.2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6.2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6.2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6.2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6.2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6.2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6.2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6.2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6.2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6.2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6.2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6.2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6.2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6.2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6.2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6.2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6.2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6.2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6.2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6.2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6.2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6.2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6.2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6.2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6.2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6.2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6.2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6.2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6.2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6.2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6.2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6.2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6.2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6.2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6.2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6.2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6.2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6.2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6.2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6.2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6.2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6.2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6.2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6.2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6.2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6.2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6.2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6.2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6.2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6.2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6.2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6.2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6.2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6.2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6.2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6.2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6.2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6.2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6.2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6.2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6.2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6.2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6.2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6.2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6.2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6.2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6.2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6.2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6.2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6.2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6.2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6.2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6.2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6.2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6.2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6.2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6.2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6.2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6.2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6.2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6.2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6.2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6.2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6.2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6.2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6.2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6.2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6.2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6.2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6.2">
      <c r="A1001" s="2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6.2">
      <c r="A1002" s="2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6.2">
      <c r="A1003" s="2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6.2">
      <c r="A1004" s="2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6.2">
      <c r="A1005" s="2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6.2">
      <c r="A1006" s="2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6.2">
      <c r="A1007" s="2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6.2">
      <c r="A1008" s="2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6.2">
      <c r="A1009" s="2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</sheetData>
  <autoFilter ref="A3:K37" xr:uid="{00000000-0009-0000-0000-000001000000}">
    <sortState xmlns:xlrd2="http://schemas.microsoft.com/office/spreadsheetml/2017/richdata2" ref="A3:K37">
      <sortCondition ref="C3:C37"/>
    </sortState>
  </autoFilter>
  <mergeCells count="1">
    <mergeCell ref="D2:K2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6F644-5F18-40CF-978F-43C2911A84C8}">
  <sheetPr>
    <outlinePr summaryBelow="0" summaryRight="0"/>
  </sheetPr>
  <dimension ref="A2:R18"/>
  <sheetViews>
    <sheetView workbookViewId="0">
      <selection activeCell="B11" sqref="B11"/>
    </sheetView>
  </sheetViews>
  <sheetFormatPr defaultColWidth="14.44140625" defaultRowHeight="15" customHeight="1"/>
  <cols>
    <col min="1" max="1" width="3.77734375" style="3" customWidth="1"/>
    <col min="2" max="2" width="59" style="3" customWidth="1"/>
    <col min="3" max="3" width="44.5546875" style="3" customWidth="1"/>
    <col min="4" max="4" width="13.88671875" style="3" bestFit="1" customWidth="1"/>
    <col min="5" max="5" width="9.33203125" style="3" bestFit="1" customWidth="1"/>
    <col min="6" max="6" width="11.6640625" style="3" bestFit="1" customWidth="1"/>
    <col min="7" max="7" width="13.88671875" style="3" bestFit="1" customWidth="1"/>
    <col min="8" max="10" width="28.33203125" style="3" bestFit="1" customWidth="1"/>
    <col min="11" max="11" width="10.6640625" style="3" bestFit="1" customWidth="1"/>
    <col min="12" max="12" width="10.44140625" style="3" customWidth="1"/>
    <col min="13" max="16384" width="14.44140625" style="3"/>
  </cols>
  <sheetData>
    <row r="2" spans="1:18" ht="14.4">
      <c r="A2" s="61" t="s">
        <v>0</v>
      </c>
      <c r="B2" s="61" t="s">
        <v>1</v>
      </c>
      <c r="C2" s="61" t="s">
        <v>2</v>
      </c>
      <c r="D2" s="58" t="s">
        <v>3</v>
      </c>
      <c r="E2" s="59"/>
      <c r="F2" s="59"/>
      <c r="G2" s="59"/>
      <c r="H2" s="59"/>
      <c r="I2" s="59"/>
      <c r="J2" s="59"/>
      <c r="K2" s="60"/>
    </row>
    <row r="3" spans="1:18" ht="14.4">
      <c r="A3" s="57"/>
      <c r="B3" s="57"/>
      <c r="C3" s="57"/>
      <c r="D3" s="51" t="s">
        <v>4</v>
      </c>
      <c r="E3" s="51" t="s">
        <v>5</v>
      </c>
      <c r="F3" s="51" t="s">
        <v>6</v>
      </c>
      <c r="G3" s="51" t="s">
        <v>7</v>
      </c>
      <c r="H3" s="51" t="s">
        <v>8</v>
      </c>
      <c r="I3" s="51" t="s">
        <v>9</v>
      </c>
      <c r="J3" s="51" t="s">
        <v>10</v>
      </c>
      <c r="K3" s="51" t="s">
        <v>11</v>
      </c>
      <c r="L3" s="46"/>
      <c r="M3" s="46"/>
      <c r="N3" s="46"/>
      <c r="O3" s="46"/>
      <c r="P3" s="46"/>
      <c r="Q3" s="46"/>
      <c r="R3" s="46"/>
    </row>
    <row r="4" spans="1:18" ht="14.4">
      <c r="A4" s="47">
        <v>1</v>
      </c>
      <c r="B4" s="48" t="s">
        <v>111</v>
      </c>
      <c r="C4" s="48" t="s">
        <v>13</v>
      </c>
      <c r="D4" s="49" t="s">
        <v>85</v>
      </c>
      <c r="E4" s="49" t="s">
        <v>112</v>
      </c>
      <c r="F4" s="49" t="s">
        <v>112</v>
      </c>
      <c r="G4" s="49" t="s">
        <v>123</v>
      </c>
      <c r="H4" s="49" t="s">
        <v>124</v>
      </c>
      <c r="I4" s="49" t="s">
        <v>126</v>
      </c>
      <c r="J4" s="49" t="s">
        <v>125</v>
      </c>
      <c r="K4" s="49" t="s">
        <v>112</v>
      </c>
    </row>
    <row r="5" spans="1:18" ht="14.4">
      <c r="A5" s="48">
        <f t="shared" ref="A5:A8" si="0">A4+1</f>
        <v>2</v>
      </c>
      <c r="B5" s="48" t="s">
        <v>116</v>
      </c>
      <c r="C5" s="48" t="s">
        <v>13</v>
      </c>
      <c r="D5" s="49" t="s">
        <v>85</v>
      </c>
      <c r="E5" s="49" t="s">
        <v>112</v>
      </c>
      <c r="F5" s="49" t="s">
        <v>112</v>
      </c>
      <c r="G5" s="49" t="s">
        <v>123</v>
      </c>
      <c r="H5" s="49" t="s">
        <v>124</v>
      </c>
      <c r="I5" s="49" t="s">
        <v>127</v>
      </c>
      <c r="J5" s="49" t="s">
        <v>129</v>
      </c>
      <c r="K5" s="49" t="s">
        <v>112</v>
      </c>
    </row>
    <row r="6" spans="1:18" ht="14.4">
      <c r="A6" s="48">
        <f t="shared" si="0"/>
        <v>3</v>
      </c>
      <c r="B6" s="48" t="s">
        <v>119</v>
      </c>
      <c r="C6" s="48" t="s">
        <v>13</v>
      </c>
      <c r="D6" s="49" t="s">
        <v>85</v>
      </c>
      <c r="E6" s="49" t="s">
        <v>112</v>
      </c>
      <c r="F6" s="49" t="s">
        <v>112</v>
      </c>
      <c r="G6" s="49" t="s">
        <v>123</v>
      </c>
      <c r="H6" s="49" t="s">
        <v>125</v>
      </c>
      <c r="I6" s="49" t="s">
        <v>127</v>
      </c>
      <c r="J6" s="49" t="s">
        <v>129</v>
      </c>
      <c r="K6" s="49" t="s">
        <v>112</v>
      </c>
    </row>
    <row r="7" spans="1:18" ht="14.4">
      <c r="A7" s="48">
        <f t="shared" si="0"/>
        <v>4</v>
      </c>
      <c r="B7" s="48" t="s">
        <v>120</v>
      </c>
      <c r="C7" s="48" t="s">
        <v>13</v>
      </c>
      <c r="D7" s="49" t="s">
        <v>85</v>
      </c>
      <c r="E7" s="49" t="s">
        <v>112</v>
      </c>
      <c r="F7" s="49" t="s">
        <v>112</v>
      </c>
      <c r="G7" s="49" t="s">
        <v>123</v>
      </c>
      <c r="H7" s="49" t="s">
        <v>126</v>
      </c>
      <c r="I7" s="49" t="s">
        <v>124</v>
      </c>
      <c r="J7" s="49" t="s">
        <v>128</v>
      </c>
      <c r="K7" s="49" t="s">
        <v>112</v>
      </c>
    </row>
    <row r="8" spans="1:18" ht="14.4">
      <c r="A8" s="48">
        <f t="shared" si="0"/>
        <v>5</v>
      </c>
      <c r="B8" s="48" t="s">
        <v>122</v>
      </c>
      <c r="C8" s="48" t="s">
        <v>26</v>
      </c>
      <c r="D8" s="49" t="s">
        <v>85</v>
      </c>
      <c r="E8" s="49" t="s">
        <v>112</v>
      </c>
      <c r="F8" s="49" t="s">
        <v>112</v>
      </c>
      <c r="G8" s="49" t="s">
        <v>123</v>
      </c>
      <c r="H8" s="49" t="s">
        <v>127</v>
      </c>
      <c r="I8" s="49" t="s">
        <v>125</v>
      </c>
      <c r="J8" s="49" t="s">
        <v>126</v>
      </c>
      <c r="K8" s="49" t="s">
        <v>112</v>
      </c>
    </row>
    <row r="9" spans="1:18" ht="14.4">
      <c r="A9" s="50"/>
      <c r="B9" s="50"/>
      <c r="C9" s="50"/>
      <c r="D9" s="50"/>
      <c r="E9" s="50"/>
      <c r="F9" s="50"/>
      <c r="G9" s="50"/>
      <c r="H9" s="50"/>
      <c r="I9" s="50"/>
      <c r="J9" s="50"/>
      <c r="K9" s="50"/>
    </row>
    <row r="10" spans="1:18" ht="14.4">
      <c r="A10" s="62"/>
      <c r="B10" s="63"/>
      <c r="E10" s="50"/>
      <c r="F10" s="50"/>
      <c r="G10" s="50"/>
      <c r="H10" s="50"/>
      <c r="I10" s="50"/>
      <c r="J10" s="50"/>
      <c r="K10" s="50"/>
    </row>
    <row r="11" spans="1:18" ht="14.4">
      <c r="B11" s="50" t="s">
        <v>64</v>
      </c>
      <c r="C11" s="50" t="s">
        <v>123</v>
      </c>
      <c r="E11" s="50"/>
      <c r="F11" s="50"/>
      <c r="G11" s="50"/>
      <c r="H11" s="50"/>
      <c r="I11" s="50"/>
      <c r="J11" s="50"/>
      <c r="K11" s="50"/>
    </row>
    <row r="12" spans="1:18" ht="14.4">
      <c r="B12" s="50" t="s">
        <v>113</v>
      </c>
      <c r="C12" s="50" t="s">
        <v>124</v>
      </c>
      <c r="E12" s="50"/>
      <c r="F12" s="50"/>
      <c r="G12" s="50"/>
      <c r="H12" s="50"/>
      <c r="I12" s="50"/>
      <c r="J12" s="50"/>
      <c r="K12" s="50"/>
    </row>
    <row r="13" spans="1:18" ht="14.4">
      <c r="B13" s="50" t="s">
        <v>115</v>
      </c>
      <c r="C13" s="50" t="s">
        <v>125</v>
      </c>
      <c r="E13" s="50"/>
      <c r="F13" s="50"/>
      <c r="G13" s="50"/>
      <c r="H13" s="50"/>
      <c r="I13" s="50"/>
      <c r="J13" s="50"/>
      <c r="K13" s="50"/>
    </row>
    <row r="14" spans="1:18" ht="14.4">
      <c r="B14" s="50" t="s">
        <v>114</v>
      </c>
      <c r="C14" s="50" t="s">
        <v>126</v>
      </c>
      <c r="E14" s="50"/>
      <c r="F14" s="50"/>
      <c r="G14" s="50"/>
      <c r="H14" s="50"/>
      <c r="I14" s="50"/>
      <c r="J14" s="50"/>
      <c r="K14" s="50"/>
    </row>
    <row r="15" spans="1:18" ht="14.4">
      <c r="B15" s="50" t="s">
        <v>117</v>
      </c>
      <c r="C15" s="50" t="s">
        <v>127</v>
      </c>
      <c r="E15" s="50"/>
      <c r="F15" s="50"/>
      <c r="G15" s="50"/>
      <c r="H15" s="50"/>
      <c r="I15" s="50"/>
      <c r="J15" s="50"/>
      <c r="K15" s="50"/>
    </row>
    <row r="16" spans="1:18" ht="14.4">
      <c r="B16" s="50" t="s">
        <v>121</v>
      </c>
      <c r="C16" s="50" t="s">
        <v>128</v>
      </c>
      <c r="E16" s="50"/>
      <c r="F16" s="50"/>
      <c r="G16" s="50"/>
      <c r="H16" s="50"/>
      <c r="I16" s="50"/>
      <c r="J16" s="50"/>
      <c r="K16" s="50"/>
    </row>
    <row r="17" spans="2:11" ht="14.4">
      <c r="B17" s="50" t="s">
        <v>118</v>
      </c>
      <c r="C17" s="50" t="s">
        <v>129</v>
      </c>
      <c r="E17" s="50"/>
      <c r="F17" s="50"/>
      <c r="G17" s="50"/>
      <c r="H17" s="50"/>
      <c r="I17" s="50"/>
      <c r="J17" s="50"/>
      <c r="K17" s="50"/>
    </row>
    <row r="18" spans="2:11" ht="15" customHeight="1">
      <c r="B18" s="52" t="s">
        <v>63</v>
      </c>
      <c r="C18" s="53" t="s">
        <v>85</v>
      </c>
    </row>
  </sheetData>
  <mergeCells count="5">
    <mergeCell ref="A10:B10"/>
    <mergeCell ref="D2:K2"/>
    <mergeCell ref="A2:A3"/>
    <mergeCell ref="B2:B3"/>
    <mergeCell ref="C2:C3"/>
  </mergeCells>
  <pageMargins left="0.7" right="0.7" top="0.75" bottom="0.75" header="0.3" footer="0.3"/>
  <pageSetup paperSize="206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07778-1DDB-4CA8-95A8-ABEB04E1F37F}">
  <dimension ref="C7:L45"/>
  <sheetViews>
    <sheetView topLeftCell="D1" workbookViewId="0">
      <selection activeCell="C45" sqref="C7:K45"/>
    </sheetView>
  </sheetViews>
  <sheetFormatPr defaultRowHeight="14.4"/>
  <cols>
    <col min="3" max="3" width="31.88671875" customWidth="1"/>
    <col min="4" max="4" width="25.6640625" bestFit="1" customWidth="1"/>
    <col min="5" max="5" width="18.6640625" customWidth="1"/>
    <col min="6" max="6" width="13.6640625" customWidth="1"/>
    <col min="7" max="7" width="16.109375" customWidth="1"/>
    <col min="8" max="8" width="15.33203125" customWidth="1"/>
    <col min="9" max="9" width="19.21875" customWidth="1"/>
    <col min="10" max="10" width="16.5546875" customWidth="1"/>
    <col min="11" max="11" width="14.5546875" customWidth="1"/>
    <col min="12" max="12" width="7.5546875" customWidth="1"/>
  </cols>
  <sheetData>
    <row r="7" spans="3:12" ht="41.4">
      <c r="C7" s="65" t="s">
        <v>111</v>
      </c>
      <c r="D7" s="65" t="s">
        <v>13</v>
      </c>
      <c r="E7" s="65" t="s">
        <v>85</v>
      </c>
      <c r="F7" s="65" t="s">
        <v>112</v>
      </c>
      <c r="G7" s="65" t="s">
        <v>112</v>
      </c>
      <c r="H7" s="65" t="s">
        <v>123</v>
      </c>
      <c r="I7" s="65" t="s">
        <v>124</v>
      </c>
      <c r="J7" s="65" t="s">
        <v>126</v>
      </c>
      <c r="K7" s="67" t="s">
        <v>125</v>
      </c>
      <c r="L7" s="68"/>
    </row>
    <row r="8" spans="3:12" ht="55.2">
      <c r="C8" s="65" t="s">
        <v>116</v>
      </c>
      <c r="D8" s="65" t="s">
        <v>13</v>
      </c>
      <c r="E8" s="65" t="s">
        <v>85</v>
      </c>
      <c r="F8" s="65" t="s">
        <v>112</v>
      </c>
      <c r="G8" s="65" t="s">
        <v>112</v>
      </c>
      <c r="H8" s="65" t="s">
        <v>123</v>
      </c>
      <c r="I8" s="65" t="s">
        <v>124</v>
      </c>
      <c r="J8" s="65" t="s">
        <v>127</v>
      </c>
      <c r="K8" s="67" t="s">
        <v>129</v>
      </c>
      <c r="L8" s="68"/>
    </row>
    <row r="9" spans="3:12" ht="55.2">
      <c r="C9" s="65" t="s">
        <v>119</v>
      </c>
      <c r="D9" s="65" t="s">
        <v>13</v>
      </c>
      <c r="E9" s="65" t="s">
        <v>85</v>
      </c>
      <c r="F9" s="65" t="s">
        <v>112</v>
      </c>
      <c r="G9" s="65" t="s">
        <v>112</v>
      </c>
      <c r="H9" s="65" t="s">
        <v>123</v>
      </c>
      <c r="I9" s="65" t="s">
        <v>125</v>
      </c>
      <c r="J9" s="65" t="s">
        <v>127</v>
      </c>
      <c r="K9" s="67" t="s">
        <v>129</v>
      </c>
      <c r="L9" s="68"/>
    </row>
    <row r="10" spans="3:12" ht="41.4">
      <c r="C10" s="65" t="s">
        <v>120</v>
      </c>
      <c r="D10" s="65" t="s">
        <v>13</v>
      </c>
      <c r="E10" s="65" t="s">
        <v>85</v>
      </c>
      <c r="F10" s="65" t="s">
        <v>112</v>
      </c>
      <c r="G10" s="65" t="s">
        <v>112</v>
      </c>
      <c r="H10" s="65" t="s">
        <v>123</v>
      </c>
      <c r="I10" s="65" t="s">
        <v>126</v>
      </c>
      <c r="J10" s="65" t="s">
        <v>124</v>
      </c>
      <c r="K10" s="67" t="s">
        <v>128</v>
      </c>
      <c r="L10" s="68"/>
    </row>
    <row r="11" spans="3:12" ht="41.4">
      <c r="C11" s="65" t="s">
        <v>122</v>
      </c>
      <c r="D11" s="65" t="s">
        <v>26</v>
      </c>
      <c r="E11" s="65" t="s">
        <v>85</v>
      </c>
      <c r="F11" s="65" t="s">
        <v>112</v>
      </c>
      <c r="G11" s="65" t="s">
        <v>112</v>
      </c>
      <c r="H11" s="65" t="s">
        <v>123</v>
      </c>
      <c r="I11" s="65" t="s">
        <v>127</v>
      </c>
      <c r="J11" s="65" t="s">
        <v>125</v>
      </c>
      <c r="K11" s="67" t="s">
        <v>126</v>
      </c>
      <c r="L11" s="68"/>
    </row>
    <row r="12" spans="3:12" ht="28.8">
      <c r="C12" s="66" t="s">
        <v>12</v>
      </c>
      <c r="D12" s="66" t="s">
        <v>13</v>
      </c>
      <c r="E12" s="66" t="s">
        <v>84</v>
      </c>
      <c r="F12" s="66" t="s">
        <v>112</v>
      </c>
      <c r="G12" s="66" t="s">
        <v>88</v>
      </c>
      <c r="H12" s="66" t="s">
        <v>93</v>
      </c>
      <c r="I12" s="66" t="s">
        <v>94</v>
      </c>
      <c r="J12" s="66" t="s">
        <v>97</v>
      </c>
      <c r="K12" s="66" t="s">
        <v>112</v>
      </c>
      <c r="L12" s="64"/>
    </row>
    <row r="13" spans="3:12" ht="28.8">
      <c r="C13" s="66" t="s">
        <v>19</v>
      </c>
      <c r="D13" s="66" t="s">
        <v>13</v>
      </c>
      <c r="E13" s="66" t="s">
        <v>83</v>
      </c>
      <c r="F13" s="66" t="s">
        <v>112</v>
      </c>
      <c r="G13" s="66" t="s">
        <v>87</v>
      </c>
      <c r="H13" s="66" t="s">
        <v>95</v>
      </c>
      <c r="I13" s="66" t="s">
        <v>100</v>
      </c>
      <c r="J13" s="66" t="s">
        <v>108</v>
      </c>
      <c r="K13" s="66" t="s">
        <v>112</v>
      </c>
      <c r="L13" s="64"/>
    </row>
    <row r="14" spans="3:12" ht="43.2">
      <c r="C14" s="66" t="s">
        <v>25</v>
      </c>
      <c r="D14" s="66" t="s">
        <v>26</v>
      </c>
      <c r="E14" s="66" t="s">
        <v>83</v>
      </c>
      <c r="F14" s="66" t="s">
        <v>84</v>
      </c>
      <c r="G14" s="66" t="s">
        <v>112</v>
      </c>
      <c r="H14" s="66" t="s">
        <v>93</v>
      </c>
      <c r="I14" s="66" t="s">
        <v>98</v>
      </c>
      <c r="J14" s="66" t="s">
        <v>97</v>
      </c>
      <c r="K14" s="66" t="s">
        <v>112</v>
      </c>
      <c r="L14" s="64"/>
    </row>
    <row r="15" spans="3:12" ht="28.8">
      <c r="C15" s="66" t="s">
        <v>28</v>
      </c>
      <c r="D15" s="66" t="s">
        <v>29</v>
      </c>
      <c r="E15" s="66" t="s">
        <v>83</v>
      </c>
      <c r="F15" s="66" t="s">
        <v>112</v>
      </c>
      <c r="G15" s="66" t="s">
        <v>88</v>
      </c>
      <c r="H15" s="66" t="s">
        <v>94</v>
      </c>
      <c r="I15" s="66" t="s">
        <v>102</v>
      </c>
      <c r="J15" s="66" t="s">
        <v>106</v>
      </c>
      <c r="K15" s="66" t="s">
        <v>112</v>
      </c>
      <c r="L15" s="64"/>
    </row>
    <row r="16" spans="3:12" ht="43.2">
      <c r="C16" s="66" t="s">
        <v>32</v>
      </c>
      <c r="D16" s="66" t="s">
        <v>13</v>
      </c>
      <c r="E16" s="66" t="s">
        <v>84</v>
      </c>
      <c r="F16" s="66" t="s">
        <v>112</v>
      </c>
      <c r="G16" s="66" t="s">
        <v>89</v>
      </c>
      <c r="H16" s="66" t="s">
        <v>97</v>
      </c>
      <c r="I16" s="66" t="s">
        <v>101</v>
      </c>
      <c r="J16" s="66" t="s">
        <v>103</v>
      </c>
      <c r="K16" s="66" t="s">
        <v>112</v>
      </c>
      <c r="L16" s="64"/>
    </row>
    <row r="17" spans="3:12" ht="43.2">
      <c r="C17" s="66" t="s">
        <v>36</v>
      </c>
      <c r="D17" s="66" t="s">
        <v>29</v>
      </c>
      <c r="E17" s="66" t="s">
        <v>83</v>
      </c>
      <c r="F17" s="66" t="s">
        <v>112</v>
      </c>
      <c r="G17" s="66" t="s">
        <v>88</v>
      </c>
      <c r="H17" s="66" t="s">
        <v>94</v>
      </c>
      <c r="I17" s="66" t="s">
        <v>102</v>
      </c>
      <c r="J17" s="66" t="s">
        <v>106</v>
      </c>
      <c r="K17" s="66" t="s">
        <v>112</v>
      </c>
      <c r="L17" s="64"/>
    </row>
    <row r="18" spans="3:12" ht="28.8">
      <c r="C18" s="66" t="s">
        <v>37</v>
      </c>
      <c r="D18" s="66" t="s">
        <v>26</v>
      </c>
      <c r="E18" s="66" t="s">
        <v>83</v>
      </c>
      <c r="F18" s="66" t="s">
        <v>112</v>
      </c>
      <c r="G18" s="66" t="s">
        <v>91</v>
      </c>
      <c r="H18" s="66" t="s">
        <v>98</v>
      </c>
      <c r="I18" s="66" t="s">
        <v>104</v>
      </c>
      <c r="J18" s="66" t="s">
        <v>107</v>
      </c>
      <c r="K18" s="66" t="s">
        <v>109</v>
      </c>
      <c r="L18" s="64"/>
    </row>
    <row r="19" spans="3:12" ht="28.8">
      <c r="C19" s="66" t="s">
        <v>42</v>
      </c>
      <c r="D19" s="66" t="s">
        <v>26</v>
      </c>
      <c r="E19" s="66" t="s">
        <v>83</v>
      </c>
      <c r="F19" s="66" t="s">
        <v>84</v>
      </c>
      <c r="G19" s="66" t="s">
        <v>112</v>
      </c>
      <c r="H19" s="66" t="s">
        <v>93</v>
      </c>
      <c r="I19" s="66" t="s">
        <v>94</v>
      </c>
      <c r="J19" s="66" t="s">
        <v>97</v>
      </c>
      <c r="K19" s="66" t="s">
        <v>112</v>
      </c>
      <c r="L19" s="64"/>
    </row>
    <row r="20" spans="3:12" ht="43.2">
      <c r="C20" s="66" t="s">
        <v>43</v>
      </c>
      <c r="D20" s="66" t="s">
        <v>44</v>
      </c>
      <c r="E20" s="66" t="s">
        <v>83</v>
      </c>
      <c r="F20" s="66" t="s">
        <v>84</v>
      </c>
      <c r="G20" s="66" t="s">
        <v>86</v>
      </c>
      <c r="H20" s="66" t="s">
        <v>97</v>
      </c>
      <c r="I20" s="66" t="s">
        <v>101</v>
      </c>
      <c r="J20" s="66" t="s">
        <v>103</v>
      </c>
      <c r="K20" s="66" t="s">
        <v>105</v>
      </c>
      <c r="L20" s="64"/>
    </row>
    <row r="21" spans="3:12" ht="43.2">
      <c r="C21" s="66" t="s">
        <v>47</v>
      </c>
      <c r="D21" s="66" t="s">
        <v>29</v>
      </c>
      <c r="E21" s="66" t="s">
        <v>83</v>
      </c>
      <c r="F21" s="66" t="s">
        <v>112</v>
      </c>
      <c r="G21" s="66" t="s">
        <v>88</v>
      </c>
      <c r="H21" s="66" t="s">
        <v>94</v>
      </c>
      <c r="I21" s="66" t="s">
        <v>102</v>
      </c>
      <c r="J21" s="66" t="s">
        <v>106</v>
      </c>
      <c r="K21" s="66" t="s">
        <v>112</v>
      </c>
      <c r="L21" s="64"/>
    </row>
    <row r="22" spans="3:12" ht="28.8">
      <c r="C22" s="66" t="s">
        <v>48</v>
      </c>
      <c r="D22" s="66" t="s">
        <v>13</v>
      </c>
      <c r="E22" s="66" t="s">
        <v>83</v>
      </c>
      <c r="F22" s="66" t="s">
        <v>112</v>
      </c>
      <c r="G22" s="66" t="s">
        <v>112</v>
      </c>
      <c r="H22" s="66" t="s">
        <v>93</v>
      </c>
      <c r="I22" s="66" t="s">
        <v>98</v>
      </c>
      <c r="J22" s="66" t="s">
        <v>109</v>
      </c>
      <c r="K22" s="66" t="s">
        <v>107</v>
      </c>
      <c r="L22" s="64"/>
    </row>
    <row r="23" spans="3:12" ht="28.8">
      <c r="C23" s="66" t="s">
        <v>49</v>
      </c>
      <c r="D23" s="66" t="s">
        <v>50</v>
      </c>
      <c r="E23" s="66" t="s">
        <v>83</v>
      </c>
      <c r="F23" s="66" t="s">
        <v>112</v>
      </c>
      <c r="G23" s="66" t="s">
        <v>92</v>
      </c>
      <c r="H23" s="66" t="s">
        <v>98</v>
      </c>
      <c r="I23" s="66" t="s">
        <v>104</v>
      </c>
      <c r="J23" s="66" t="s">
        <v>112</v>
      </c>
      <c r="K23" s="66" t="s">
        <v>112</v>
      </c>
      <c r="L23" s="64"/>
    </row>
    <row r="24" spans="3:12" ht="28.8">
      <c r="C24" s="66" t="s">
        <v>52</v>
      </c>
      <c r="D24" s="66" t="s">
        <v>26</v>
      </c>
      <c r="E24" s="66" t="s">
        <v>83</v>
      </c>
      <c r="F24" s="66" t="s">
        <v>84</v>
      </c>
      <c r="G24" s="66" t="s">
        <v>87</v>
      </c>
      <c r="H24" s="66" t="s">
        <v>93</v>
      </c>
      <c r="I24" s="66" t="s">
        <v>94</v>
      </c>
      <c r="J24" s="66" t="s">
        <v>98</v>
      </c>
      <c r="K24" s="66" t="s">
        <v>112</v>
      </c>
      <c r="L24" s="64"/>
    </row>
    <row r="25" spans="3:12" ht="43.2">
      <c r="C25" s="66" t="s">
        <v>53</v>
      </c>
      <c r="D25" s="66" t="s">
        <v>29</v>
      </c>
      <c r="E25" s="66" t="s">
        <v>84</v>
      </c>
      <c r="F25" s="66" t="s">
        <v>83</v>
      </c>
      <c r="G25" s="66" t="s">
        <v>86</v>
      </c>
      <c r="H25" s="66" t="s">
        <v>97</v>
      </c>
      <c r="I25" s="66" t="s">
        <v>101</v>
      </c>
      <c r="J25" s="66" t="s">
        <v>103</v>
      </c>
      <c r="K25" s="66" t="s">
        <v>105</v>
      </c>
      <c r="L25" s="64"/>
    </row>
    <row r="26" spans="3:12" ht="28.8">
      <c r="C26" s="66" t="s">
        <v>54</v>
      </c>
      <c r="D26" s="66" t="s">
        <v>29</v>
      </c>
      <c r="E26" s="66" t="s">
        <v>84</v>
      </c>
      <c r="F26" s="66" t="s">
        <v>83</v>
      </c>
      <c r="G26" s="66" t="s">
        <v>88</v>
      </c>
      <c r="H26" s="66" t="s">
        <v>94</v>
      </c>
      <c r="I26" s="66" t="s">
        <v>93</v>
      </c>
      <c r="J26" s="66" t="s">
        <v>102</v>
      </c>
      <c r="K26" s="66" t="s">
        <v>106</v>
      </c>
      <c r="L26" s="64"/>
    </row>
    <row r="27" spans="3:12" ht="43.2">
      <c r="C27" s="66" t="s">
        <v>55</v>
      </c>
      <c r="D27" s="66" t="s">
        <v>26</v>
      </c>
      <c r="E27" s="66" t="s">
        <v>83</v>
      </c>
      <c r="F27" s="66" t="s">
        <v>112</v>
      </c>
      <c r="G27" s="66" t="s">
        <v>91</v>
      </c>
      <c r="H27" s="66" t="s">
        <v>98</v>
      </c>
      <c r="I27" s="66" t="s">
        <v>104</v>
      </c>
      <c r="J27" s="66" t="s">
        <v>107</v>
      </c>
      <c r="K27" s="66" t="s">
        <v>112</v>
      </c>
      <c r="L27" s="64"/>
    </row>
    <row r="28" spans="3:12" ht="28.8">
      <c r="C28" s="66" t="s">
        <v>56</v>
      </c>
      <c r="D28" s="66" t="s">
        <v>29</v>
      </c>
      <c r="E28" s="66" t="s">
        <v>84</v>
      </c>
      <c r="F28" s="66" t="s">
        <v>112</v>
      </c>
      <c r="G28" s="66" t="s">
        <v>87</v>
      </c>
      <c r="H28" s="66" t="s">
        <v>95</v>
      </c>
      <c r="I28" s="66" t="s">
        <v>100</v>
      </c>
      <c r="J28" s="66" t="s">
        <v>108</v>
      </c>
      <c r="K28" s="66" t="s">
        <v>99</v>
      </c>
      <c r="L28" s="64"/>
    </row>
    <row r="29" spans="3:12" ht="43.2">
      <c r="C29" s="66" t="s">
        <v>58</v>
      </c>
      <c r="D29" s="66" t="s">
        <v>29</v>
      </c>
      <c r="E29" s="66" t="s">
        <v>83</v>
      </c>
      <c r="F29" s="66" t="s">
        <v>112</v>
      </c>
      <c r="G29" s="66" t="s">
        <v>89</v>
      </c>
      <c r="H29" s="66" t="s">
        <v>97</v>
      </c>
      <c r="I29" s="66" t="s">
        <v>101</v>
      </c>
      <c r="J29" s="66" t="s">
        <v>103</v>
      </c>
      <c r="K29" s="66" t="s">
        <v>112</v>
      </c>
      <c r="L29" s="64"/>
    </row>
    <row r="30" spans="3:12" ht="43.2">
      <c r="C30" s="66" t="s">
        <v>59</v>
      </c>
      <c r="D30" s="66" t="s">
        <v>29</v>
      </c>
      <c r="E30" s="66" t="s">
        <v>83</v>
      </c>
      <c r="F30" s="66" t="s">
        <v>112</v>
      </c>
      <c r="G30" s="66" t="s">
        <v>87</v>
      </c>
      <c r="H30" s="66" t="s">
        <v>98</v>
      </c>
      <c r="I30" s="66" t="s">
        <v>104</v>
      </c>
      <c r="J30" s="66" t="s">
        <v>107</v>
      </c>
      <c r="K30" s="66" t="s">
        <v>109</v>
      </c>
      <c r="L30" s="64"/>
    </row>
    <row r="31" spans="3:12" ht="43.2">
      <c r="C31" s="66" t="s">
        <v>60</v>
      </c>
      <c r="D31" s="66" t="s">
        <v>13</v>
      </c>
      <c r="E31" s="66" t="s">
        <v>84</v>
      </c>
      <c r="F31" s="66" t="s">
        <v>112</v>
      </c>
      <c r="G31" s="66" t="s">
        <v>89</v>
      </c>
      <c r="H31" s="66" t="s">
        <v>97</v>
      </c>
      <c r="I31" s="66" t="s">
        <v>101</v>
      </c>
      <c r="J31" s="66" t="s">
        <v>103</v>
      </c>
      <c r="K31" s="66" t="s">
        <v>112</v>
      </c>
      <c r="L31" s="64"/>
    </row>
    <row r="32" spans="3:12" ht="43.2">
      <c r="C32" s="66" t="s">
        <v>61</v>
      </c>
      <c r="D32" s="66" t="s">
        <v>29</v>
      </c>
      <c r="E32" s="66" t="s">
        <v>83</v>
      </c>
      <c r="F32" s="66" t="s">
        <v>84</v>
      </c>
      <c r="G32" s="66" t="s">
        <v>87</v>
      </c>
      <c r="H32" s="66" t="s">
        <v>98</v>
      </c>
      <c r="I32" s="66" t="s">
        <v>104</v>
      </c>
      <c r="J32" s="66" t="s">
        <v>107</v>
      </c>
      <c r="K32" s="66" t="s">
        <v>109</v>
      </c>
      <c r="L32" s="64"/>
    </row>
    <row r="33" spans="3:12" ht="28.8">
      <c r="C33" s="66" t="s">
        <v>62</v>
      </c>
      <c r="D33" s="66" t="s">
        <v>29</v>
      </c>
      <c r="E33" s="66" t="s">
        <v>83</v>
      </c>
      <c r="F33" s="66" t="s">
        <v>84</v>
      </c>
      <c r="G33" s="66" t="s">
        <v>85</v>
      </c>
      <c r="H33" s="66" t="s">
        <v>94</v>
      </c>
      <c r="I33" s="66" t="s">
        <v>91</v>
      </c>
      <c r="J33" s="66" t="s">
        <v>96</v>
      </c>
      <c r="K33" s="66" t="s">
        <v>102</v>
      </c>
      <c r="L33" s="64"/>
    </row>
    <row r="34" spans="3:12" ht="28.8">
      <c r="C34" s="66" t="s">
        <v>65</v>
      </c>
      <c r="D34" s="66" t="s">
        <v>13</v>
      </c>
      <c r="E34" s="66" t="s">
        <v>84</v>
      </c>
      <c r="F34" s="66" t="s">
        <v>112</v>
      </c>
      <c r="G34" s="66" t="s">
        <v>86</v>
      </c>
      <c r="H34" s="66" t="s">
        <v>95</v>
      </c>
      <c r="I34" s="66" t="s">
        <v>100</v>
      </c>
      <c r="J34" s="66" t="s">
        <v>108</v>
      </c>
      <c r="K34" s="66" t="s">
        <v>99</v>
      </c>
      <c r="L34" s="64"/>
    </row>
    <row r="35" spans="3:12" ht="28.8">
      <c r="C35" s="66" t="s">
        <v>66</v>
      </c>
      <c r="D35" s="66" t="s">
        <v>67</v>
      </c>
      <c r="E35" s="66" t="s">
        <v>83</v>
      </c>
      <c r="F35" s="66" t="s">
        <v>84</v>
      </c>
      <c r="G35" s="66" t="s">
        <v>90</v>
      </c>
      <c r="H35" s="66" t="s">
        <v>93</v>
      </c>
      <c r="I35" s="66" t="s">
        <v>88</v>
      </c>
      <c r="J35" s="66" t="s">
        <v>94</v>
      </c>
      <c r="K35" s="66" t="s">
        <v>112</v>
      </c>
      <c r="L35" s="64"/>
    </row>
    <row r="36" spans="3:12" ht="43.2">
      <c r="C36" s="66" t="s">
        <v>69</v>
      </c>
      <c r="D36" s="66" t="s">
        <v>13</v>
      </c>
      <c r="E36" s="66" t="s">
        <v>83</v>
      </c>
      <c r="F36" s="66" t="s">
        <v>84</v>
      </c>
      <c r="G36" s="66" t="s">
        <v>89</v>
      </c>
      <c r="H36" s="66" t="s">
        <v>97</v>
      </c>
      <c r="I36" s="66" t="s">
        <v>101</v>
      </c>
      <c r="J36" s="66" t="s">
        <v>103</v>
      </c>
      <c r="K36" s="66" t="s">
        <v>112</v>
      </c>
      <c r="L36" s="64"/>
    </row>
    <row r="37" spans="3:12" ht="28.8">
      <c r="C37" s="66" t="s">
        <v>70</v>
      </c>
      <c r="D37" s="66" t="s">
        <v>29</v>
      </c>
      <c r="E37" s="66" t="s">
        <v>84</v>
      </c>
      <c r="F37" s="66" t="s">
        <v>87</v>
      </c>
      <c r="G37" s="66" t="s">
        <v>93</v>
      </c>
      <c r="H37" s="66" t="s">
        <v>94</v>
      </c>
      <c r="I37" s="66" t="s">
        <v>102</v>
      </c>
      <c r="J37" s="66" t="s">
        <v>110</v>
      </c>
      <c r="K37" s="66" t="s">
        <v>112</v>
      </c>
      <c r="L37" s="64"/>
    </row>
    <row r="38" spans="3:12" ht="28.8">
      <c r="C38" s="66" t="s">
        <v>72</v>
      </c>
      <c r="D38" s="66" t="s">
        <v>26</v>
      </c>
      <c r="E38" s="66" t="s">
        <v>83</v>
      </c>
      <c r="F38" s="66" t="s">
        <v>84</v>
      </c>
      <c r="G38" s="66" t="s">
        <v>112</v>
      </c>
      <c r="H38" s="66" t="s">
        <v>98</v>
      </c>
      <c r="I38" s="66" t="s">
        <v>104</v>
      </c>
      <c r="J38" s="66" t="s">
        <v>107</v>
      </c>
      <c r="K38" s="66" t="s">
        <v>109</v>
      </c>
      <c r="L38" s="64"/>
    </row>
    <row r="39" spans="3:12" ht="43.2">
      <c r="C39" s="66" t="s">
        <v>73</v>
      </c>
      <c r="D39" s="66" t="s">
        <v>29</v>
      </c>
      <c r="E39" s="66" t="s">
        <v>83</v>
      </c>
      <c r="F39" s="66" t="s">
        <v>84</v>
      </c>
      <c r="G39" s="66" t="s">
        <v>112</v>
      </c>
      <c r="H39" s="66" t="s">
        <v>95</v>
      </c>
      <c r="I39" s="66" t="s">
        <v>100</v>
      </c>
      <c r="J39" s="66" t="s">
        <v>108</v>
      </c>
      <c r="K39" s="66" t="s">
        <v>99</v>
      </c>
      <c r="L39" s="64"/>
    </row>
    <row r="40" spans="3:12" ht="28.8">
      <c r="C40" s="66" t="s">
        <v>74</v>
      </c>
      <c r="D40" s="66" t="s">
        <v>26</v>
      </c>
      <c r="E40" s="66" t="s">
        <v>83</v>
      </c>
      <c r="F40" s="66" t="s">
        <v>112</v>
      </c>
      <c r="G40" s="66" t="s">
        <v>88</v>
      </c>
      <c r="H40" s="66" t="s">
        <v>93</v>
      </c>
      <c r="I40" s="66" t="s">
        <v>98</v>
      </c>
      <c r="J40" s="66" t="s">
        <v>104</v>
      </c>
      <c r="K40" s="66" t="s">
        <v>112</v>
      </c>
      <c r="L40" s="64"/>
    </row>
    <row r="41" spans="3:12" ht="43.2">
      <c r="C41" s="66" t="s">
        <v>75</v>
      </c>
      <c r="D41" s="66" t="s">
        <v>29</v>
      </c>
      <c r="E41" s="66" t="s">
        <v>84</v>
      </c>
      <c r="F41" s="66" t="s">
        <v>112</v>
      </c>
      <c r="G41" s="66" t="s">
        <v>88</v>
      </c>
      <c r="H41" s="66" t="s">
        <v>97</v>
      </c>
      <c r="I41" s="66" t="s">
        <v>101</v>
      </c>
      <c r="J41" s="66" t="s">
        <v>103</v>
      </c>
      <c r="K41" s="66" t="s">
        <v>112</v>
      </c>
      <c r="L41" s="64"/>
    </row>
    <row r="42" spans="3:12" ht="28.8">
      <c r="C42" s="66" t="s">
        <v>76</v>
      </c>
      <c r="D42" s="66" t="s">
        <v>13</v>
      </c>
      <c r="E42" s="66" t="s">
        <v>84</v>
      </c>
      <c r="F42" s="66" t="s">
        <v>112</v>
      </c>
      <c r="G42" s="66" t="s">
        <v>87</v>
      </c>
      <c r="H42" s="66" t="s">
        <v>94</v>
      </c>
      <c r="I42" s="66" t="s">
        <v>102</v>
      </c>
      <c r="J42" s="66" t="s">
        <v>110</v>
      </c>
      <c r="K42" s="66" t="s">
        <v>112</v>
      </c>
      <c r="L42" s="64"/>
    </row>
    <row r="43" spans="3:12" ht="28.8">
      <c r="C43" s="66" t="s">
        <v>77</v>
      </c>
      <c r="D43" s="66" t="s">
        <v>29</v>
      </c>
      <c r="E43" s="66" t="s">
        <v>83</v>
      </c>
      <c r="F43" s="66" t="s">
        <v>84</v>
      </c>
      <c r="G43" s="66" t="s">
        <v>86</v>
      </c>
      <c r="H43" s="66" t="s">
        <v>98</v>
      </c>
      <c r="I43" s="66" t="s">
        <v>104</v>
      </c>
      <c r="J43" s="66" t="s">
        <v>107</v>
      </c>
      <c r="K43" s="66" t="s">
        <v>112</v>
      </c>
      <c r="L43" s="64"/>
    </row>
    <row r="44" spans="3:12" ht="43.2">
      <c r="C44" s="66" t="s">
        <v>78</v>
      </c>
      <c r="D44" s="66" t="s">
        <v>13</v>
      </c>
      <c r="E44" s="66" t="s">
        <v>84</v>
      </c>
      <c r="F44" s="66" t="s">
        <v>86</v>
      </c>
      <c r="G44" s="66" t="s">
        <v>112</v>
      </c>
      <c r="H44" s="66" t="s">
        <v>95</v>
      </c>
      <c r="I44" s="66" t="s">
        <v>100</v>
      </c>
      <c r="J44" s="66" t="s">
        <v>108</v>
      </c>
      <c r="K44" s="66" t="s">
        <v>99</v>
      </c>
      <c r="L44" s="64"/>
    </row>
    <row r="45" spans="3:12" ht="43.2">
      <c r="C45" s="66" t="s">
        <v>79</v>
      </c>
      <c r="D45" s="66" t="s">
        <v>29</v>
      </c>
      <c r="E45" s="66" t="s">
        <v>83</v>
      </c>
      <c r="F45" s="66" t="s">
        <v>112</v>
      </c>
      <c r="G45" s="66" t="s">
        <v>87</v>
      </c>
      <c r="H45" s="66" t="s">
        <v>93</v>
      </c>
      <c r="I45" s="66" t="s">
        <v>95</v>
      </c>
      <c r="J45" s="66" t="s">
        <v>100</v>
      </c>
      <c r="K45" s="66" t="s">
        <v>106</v>
      </c>
      <c r="L45" s="64"/>
    </row>
  </sheetData>
  <pageMargins left="0.7" right="0.7" top="0.75" bottom="0.75" header="0.3" footer="0.3"/>
  <pageSetup paperSize="20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&amp; Schedule Lt. 2</vt:lpstr>
      <vt:lpstr>Team &amp; Schedule Lt. 3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Dwi Cahyanto</dc:creator>
  <cp:lastModifiedBy>Farhan Lubis</cp:lastModifiedBy>
  <dcterms:created xsi:type="dcterms:W3CDTF">2025-11-19T03:12:52Z</dcterms:created>
  <dcterms:modified xsi:type="dcterms:W3CDTF">2025-11-19T10:18:05Z</dcterms:modified>
</cp:coreProperties>
</file>