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 - Questindustries\Documents\Apps\I-Assets\app-kap-ahr\public\data\"/>
    </mc:Choice>
  </mc:AlternateContent>
  <xr:revisionPtr revIDLastSave="0" documentId="13_ncr:1_{E82E504F-366E-461B-A455-0770D9CDBBE2}" xr6:coauthVersionLast="47" xr6:coauthVersionMax="47" xr10:uidLastSave="{00000000-0000-0000-0000-000000000000}"/>
  <bookViews>
    <workbookView xWindow="-108" yWindow="-108" windowWidth="23256" windowHeight="13176" xr2:uid="{E7418996-29C8-4860-A3B7-C1D0715882DF}"/>
  </bookViews>
  <sheets>
    <sheet name="Team &amp; Schedule Lt. 2" sheetId="2" r:id="rId1"/>
    <sheet name="Team &amp; Schedule Lt. 3" sheetId="3" r:id="rId2"/>
    <sheet name="Lembar1" sheetId="1" r:id="rId3"/>
  </sheets>
  <definedNames>
    <definedName name="_xlnm._FilterDatabase" localSheetId="0" hidden="1">'Team &amp; Schedule Lt. 2'!$A$3:$N$37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8" i="2"/>
  <c r="A5" i="3"/>
  <c r="A6" i="3" s="1"/>
  <c r="A7" i="3" s="1"/>
  <c r="A8" i="3" s="1"/>
  <c r="N68" i="2"/>
  <c r="M68" i="2"/>
  <c r="L68" i="2"/>
  <c r="K68" i="2"/>
  <c r="J68" i="2"/>
  <c r="I68" i="2"/>
  <c r="H68" i="2"/>
  <c r="G68" i="2"/>
  <c r="N67" i="2"/>
  <c r="M67" i="2"/>
  <c r="L67" i="2"/>
  <c r="K67" i="2"/>
  <c r="J67" i="2"/>
  <c r="I67" i="2"/>
  <c r="H67" i="2"/>
  <c r="G67" i="2"/>
  <c r="O67" i="2" s="1"/>
  <c r="N66" i="2"/>
  <c r="M66" i="2"/>
  <c r="L66" i="2"/>
  <c r="K66" i="2"/>
  <c r="J66" i="2"/>
  <c r="I66" i="2"/>
  <c r="H66" i="2"/>
  <c r="G66" i="2"/>
  <c r="O66" i="2" s="1"/>
  <c r="N65" i="2"/>
  <c r="M65" i="2"/>
  <c r="L65" i="2"/>
  <c r="K65" i="2"/>
  <c r="J65" i="2"/>
  <c r="I65" i="2"/>
  <c r="H65" i="2"/>
  <c r="G65" i="2"/>
  <c r="O65" i="2" s="1"/>
  <c r="N64" i="2"/>
  <c r="M64" i="2"/>
  <c r="L64" i="2"/>
  <c r="K64" i="2"/>
  <c r="J64" i="2"/>
  <c r="I64" i="2"/>
  <c r="H64" i="2"/>
  <c r="G64" i="2"/>
  <c r="O64" i="2" s="1"/>
  <c r="N63" i="2"/>
  <c r="M63" i="2"/>
  <c r="L63" i="2"/>
  <c r="K63" i="2"/>
  <c r="J63" i="2"/>
  <c r="I63" i="2"/>
  <c r="H63" i="2"/>
  <c r="G63" i="2"/>
  <c r="O63" i="2" s="1"/>
  <c r="N62" i="2"/>
  <c r="M62" i="2"/>
  <c r="L62" i="2"/>
  <c r="K62" i="2"/>
  <c r="J62" i="2"/>
  <c r="I62" i="2"/>
  <c r="H62" i="2"/>
  <c r="G62" i="2"/>
  <c r="O62" i="2" s="1"/>
  <c r="N61" i="2"/>
  <c r="M61" i="2"/>
  <c r="L61" i="2"/>
  <c r="K61" i="2"/>
  <c r="J61" i="2"/>
  <c r="I61" i="2"/>
  <c r="H61" i="2"/>
  <c r="G61" i="2"/>
  <c r="O61" i="2" s="1"/>
  <c r="N60" i="2"/>
  <c r="M60" i="2"/>
  <c r="L60" i="2"/>
  <c r="K60" i="2"/>
  <c r="J60" i="2"/>
  <c r="I60" i="2"/>
  <c r="H60" i="2"/>
  <c r="G60" i="2"/>
  <c r="O60" i="2" s="1"/>
  <c r="N59" i="2"/>
  <c r="M59" i="2"/>
  <c r="L59" i="2"/>
  <c r="K59" i="2"/>
  <c r="J59" i="2"/>
  <c r="I59" i="2"/>
  <c r="H59" i="2"/>
  <c r="G59" i="2"/>
  <c r="O59" i="2" s="1"/>
  <c r="N58" i="2"/>
  <c r="M58" i="2"/>
  <c r="L58" i="2"/>
  <c r="K58" i="2"/>
  <c r="J58" i="2"/>
  <c r="I58" i="2"/>
  <c r="H58" i="2"/>
  <c r="G58" i="2"/>
  <c r="O58" i="2" s="1"/>
  <c r="N57" i="2"/>
  <c r="M57" i="2"/>
  <c r="L57" i="2"/>
  <c r="K57" i="2"/>
  <c r="J57" i="2"/>
  <c r="I57" i="2"/>
  <c r="H57" i="2"/>
  <c r="G57" i="2"/>
  <c r="O57" i="2" s="1"/>
  <c r="N56" i="2"/>
  <c r="M56" i="2"/>
  <c r="L56" i="2"/>
  <c r="K56" i="2"/>
  <c r="J56" i="2"/>
  <c r="I56" i="2"/>
  <c r="H56" i="2"/>
  <c r="G56" i="2"/>
  <c r="O56" i="2" s="1"/>
  <c r="N55" i="2"/>
  <c r="M55" i="2"/>
  <c r="L55" i="2"/>
  <c r="K55" i="2"/>
  <c r="J55" i="2"/>
  <c r="I55" i="2"/>
  <c r="H55" i="2"/>
  <c r="G55" i="2"/>
  <c r="O55" i="2" s="1"/>
  <c r="N54" i="2"/>
  <c r="M54" i="2"/>
  <c r="L54" i="2"/>
  <c r="K54" i="2"/>
  <c r="J54" i="2"/>
  <c r="I54" i="2"/>
  <c r="H54" i="2"/>
  <c r="G54" i="2"/>
  <c r="O54" i="2" s="1"/>
  <c r="N53" i="2"/>
  <c r="M53" i="2"/>
  <c r="L53" i="2"/>
  <c r="K53" i="2"/>
  <c r="J53" i="2"/>
  <c r="I53" i="2"/>
  <c r="H53" i="2"/>
  <c r="G53" i="2"/>
  <c r="O53" i="2" s="1"/>
  <c r="N52" i="2"/>
  <c r="M52" i="2"/>
  <c r="L52" i="2"/>
  <c r="K52" i="2"/>
  <c r="J52" i="2"/>
  <c r="I52" i="2"/>
  <c r="H52" i="2"/>
  <c r="G52" i="2"/>
  <c r="O52" i="2" s="1"/>
  <c r="N51" i="2"/>
  <c r="M51" i="2"/>
  <c r="L51" i="2"/>
  <c r="K51" i="2"/>
  <c r="J51" i="2"/>
  <c r="I51" i="2"/>
  <c r="H51" i="2"/>
  <c r="G51" i="2"/>
  <c r="O51" i="2" s="1"/>
  <c r="N50" i="2"/>
  <c r="M50" i="2"/>
  <c r="L50" i="2"/>
  <c r="K50" i="2"/>
  <c r="J50" i="2"/>
  <c r="I50" i="2"/>
  <c r="H50" i="2"/>
  <c r="G50" i="2"/>
  <c r="O50" i="2" s="1"/>
  <c r="N49" i="2"/>
  <c r="M49" i="2"/>
  <c r="L49" i="2"/>
  <c r="K49" i="2"/>
  <c r="J49" i="2"/>
  <c r="I49" i="2"/>
  <c r="H49" i="2"/>
  <c r="G49" i="2"/>
  <c r="O49" i="2" s="1"/>
  <c r="N48" i="2"/>
  <c r="M48" i="2"/>
  <c r="L48" i="2"/>
  <c r="K48" i="2"/>
  <c r="J48" i="2"/>
  <c r="I48" i="2"/>
  <c r="H48" i="2"/>
  <c r="G48" i="2"/>
  <c r="O48" i="2" s="1"/>
  <c r="N47" i="2"/>
  <c r="M47" i="2"/>
  <c r="L47" i="2"/>
  <c r="K47" i="2"/>
  <c r="J47" i="2"/>
  <c r="I47" i="2"/>
  <c r="H47" i="2"/>
  <c r="G47" i="2"/>
  <c r="O47" i="2" s="1"/>
  <c r="N46" i="2"/>
  <c r="M46" i="2"/>
  <c r="L46" i="2"/>
  <c r="K46" i="2"/>
  <c r="J46" i="2"/>
  <c r="I46" i="2"/>
  <c r="H46" i="2"/>
  <c r="G46" i="2"/>
  <c r="O46" i="2" s="1"/>
  <c r="N45" i="2"/>
  <c r="M45" i="2"/>
  <c r="L45" i="2"/>
  <c r="K45" i="2"/>
  <c r="J45" i="2"/>
  <c r="I45" i="2"/>
  <c r="H45" i="2"/>
  <c r="G45" i="2"/>
  <c r="O45" i="2" s="1"/>
  <c r="N44" i="2"/>
  <c r="M44" i="2"/>
  <c r="L44" i="2"/>
  <c r="K44" i="2"/>
  <c r="J44" i="2"/>
  <c r="I44" i="2"/>
  <c r="H44" i="2"/>
  <c r="G44" i="2"/>
  <c r="O44" i="2" s="1"/>
  <c r="N43" i="2"/>
  <c r="M43" i="2"/>
  <c r="L43" i="2"/>
  <c r="K43" i="2"/>
  <c r="J43" i="2"/>
  <c r="I43" i="2"/>
  <c r="H43" i="2"/>
  <c r="G43" i="2"/>
  <c r="O43" i="2" s="1"/>
  <c r="N42" i="2"/>
  <c r="M42" i="2"/>
  <c r="L42" i="2"/>
  <c r="K42" i="2"/>
  <c r="J42" i="2"/>
  <c r="I42" i="2"/>
  <c r="H42" i="2"/>
  <c r="G42" i="2"/>
  <c r="O42" i="2" s="1"/>
  <c r="N41" i="2"/>
  <c r="M41" i="2"/>
  <c r="L41" i="2"/>
  <c r="K41" i="2"/>
  <c r="J41" i="2"/>
  <c r="I41" i="2"/>
  <c r="H41" i="2"/>
  <c r="G41" i="2"/>
  <c r="O41" i="2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O68" i="2" l="1"/>
</calcChain>
</file>

<file path=xl/sharedStrings.xml><?xml version="1.0" encoding="utf-8"?>
<sst xmlns="http://schemas.openxmlformats.org/spreadsheetml/2006/main" count="591" uniqueCount="224">
  <si>
    <t>No</t>
  </si>
  <si>
    <t>Nama Klien</t>
  </si>
  <si>
    <t>Wilayah</t>
  </si>
  <si>
    <t>Kementerian</t>
  </si>
  <si>
    <t>Susunan Tim</t>
  </si>
  <si>
    <t>Tanggal Entry Meeting</t>
  </si>
  <si>
    <t>Tanggal Interim</t>
  </si>
  <si>
    <t>Tanggal Fieldwork</t>
  </si>
  <si>
    <t>Jumlah Hari 
Interim &amp; Fieldwork</t>
  </si>
  <si>
    <t>Tanggal Awal Kontrak</t>
  </si>
  <si>
    <t>Tanggal Akhir Kontrak</t>
  </si>
  <si>
    <t>Jumlah Hari Kontrak</t>
  </si>
  <si>
    <t>Pulau</t>
  </si>
  <si>
    <t xml:space="preserve">Provinsi </t>
  </si>
  <si>
    <t>Kota</t>
  </si>
  <si>
    <t>Partner</t>
  </si>
  <si>
    <t>Manager</t>
  </si>
  <si>
    <t>Supervisor</t>
  </si>
  <si>
    <t>Team Leader</t>
  </si>
  <si>
    <t>Member 1</t>
  </si>
  <si>
    <t>Member 2</t>
  </si>
  <si>
    <t>Member 3</t>
  </si>
  <si>
    <t>Member 4</t>
  </si>
  <si>
    <t>Politeknik Kesehatan Jakarta 1</t>
  </si>
  <si>
    <t>Jawa</t>
  </si>
  <si>
    <t>DKI Jakarta</t>
  </si>
  <si>
    <t>Jakarta Selatan</t>
  </si>
  <si>
    <t>Kementerian Kesehatan</t>
  </si>
  <si>
    <t>WFA</t>
  </si>
  <si>
    <t>SWU</t>
  </si>
  <si>
    <t>FFF</t>
  </si>
  <si>
    <t>BDC</t>
  </si>
  <si>
    <t>AMR</t>
  </si>
  <si>
    <t>5 Januari 2026</t>
  </si>
  <si>
    <t>12 s.d. 15 Januari 2026</t>
  </si>
  <si>
    <t xml:space="preserve">Politeknik Kesehatan Jakarta 2 </t>
  </si>
  <si>
    <t>AHC</t>
  </si>
  <si>
    <t>TTA</t>
  </si>
  <si>
    <t>INA</t>
  </si>
  <si>
    <t>JOI</t>
  </si>
  <si>
    <t>CVN</t>
  </si>
  <si>
    <t>12 s.d 15 Januari 2026</t>
  </si>
  <si>
    <t xml:space="preserve">Balai Pendidikan dan Pelatihan Transportasi Laut </t>
  </si>
  <si>
    <t>Kementerian Perhubungan</t>
  </si>
  <si>
    <t>MRE</t>
  </si>
  <si>
    <t>12 Januari 2026</t>
  </si>
  <si>
    <t>19 s.d. 22 Januari 2026</t>
  </si>
  <si>
    <t>Universitas Islam Negeri Imam Bonjol Padang</t>
  </si>
  <si>
    <t>Sumatera</t>
  </si>
  <si>
    <t>Sumatera Barat</t>
  </si>
  <si>
    <t>Padang</t>
  </si>
  <si>
    <t>Kementerian Agama</t>
  </si>
  <si>
    <t>RAF</t>
  </si>
  <si>
    <t>MHF</t>
  </si>
  <si>
    <t>19 s.d 23 Januari 2026</t>
  </si>
  <si>
    <t>Politeknik Kesehatan Makassar</t>
  </si>
  <si>
    <t>Sulawesi</t>
  </si>
  <si>
    <t>Sulawesi Selatan</t>
  </si>
  <si>
    <t>Makassar</t>
  </si>
  <si>
    <t>SUH</t>
  </si>
  <si>
    <t>ZFF</t>
  </si>
  <si>
    <t>RAM</t>
  </si>
  <si>
    <t>19 Januari 2026</t>
  </si>
  <si>
    <t>26 s.d. 30 Januari 2026</t>
  </si>
  <si>
    <t>Universitas Islam Negeri Mahmud Yunus Batusangkar</t>
  </si>
  <si>
    <t>Tanahdatar</t>
  </si>
  <si>
    <t>26 s.d 30 Januari 2026</t>
  </si>
  <si>
    <t>Politeknik Penerbangan Indonesia Curug</t>
  </si>
  <si>
    <t>Banten</t>
  </si>
  <si>
    <t>Curug</t>
  </si>
  <si>
    <t>RAQ</t>
  </si>
  <si>
    <t>ART</t>
  </si>
  <si>
    <t>MLA</t>
  </si>
  <si>
    <t>KSG</t>
  </si>
  <si>
    <t>Politeknik Pelayaran Banten</t>
  </si>
  <si>
    <t>Serang</t>
  </si>
  <si>
    <t>Politeknik Negeri Ujung Pandang</t>
  </si>
  <si>
    <t>Kementerian Pendidikan</t>
  </si>
  <si>
    <t>BPA</t>
  </si>
  <si>
    <t>AAR</t>
  </si>
  <si>
    <t>26 Januari 2026</t>
  </si>
  <si>
    <t>10 s.d. 12 Desember 2025</t>
  </si>
  <si>
    <t>2 s.d. 6 Februari 2026</t>
  </si>
  <si>
    <t>Universitas Islam Negeri Sjech M. Djamil Djambek Bukittinggi</t>
  </si>
  <si>
    <t>Bukittinggi</t>
  </si>
  <si>
    <t>2 s.d 6 Februari 2026</t>
  </si>
  <si>
    <t>Politeknik Kesehatan Bandung</t>
  </si>
  <si>
    <t>Jawa Barat</t>
  </si>
  <si>
    <t>Bandung</t>
  </si>
  <si>
    <t>Balai Inseminasi Buatan (BIB) Lembang</t>
  </si>
  <si>
    <t>Kementerian Pertanian</t>
  </si>
  <si>
    <t>YSA</t>
  </si>
  <si>
    <t>Sekolah Tinggi Ilmu Pelayaran Jakarta</t>
  </si>
  <si>
    <t>Jakarta Utara</t>
  </si>
  <si>
    <t>2 Februari 2026</t>
  </si>
  <si>
    <t>9 s.d. 12 Februari 2026</t>
  </si>
  <si>
    <t xml:space="preserve">Universitas Islam Negeri Alauddin Makassar </t>
  </si>
  <si>
    <t>8 s.d. 10 Desember 2025</t>
  </si>
  <si>
    <t>9 s.d 13 Februari 2026</t>
  </si>
  <si>
    <t>Universitas Islam Negeri Sutan Syarif Kasim Riau</t>
  </si>
  <si>
    <t>Riau</t>
  </si>
  <si>
    <t>Pekanbaru</t>
  </si>
  <si>
    <t xml:space="preserve">Politeknik Perkeretaapian Indonesia Madiun </t>
  </si>
  <si>
    <t>Jawa Timur</t>
  </si>
  <si>
    <t>Madiun</t>
  </si>
  <si>
    <t>9 s.d. 13 Februari 2026</t>
  </si>
  <si>
    <t xml:space="preserve">Universitas Islam Negeri Raden Fatah Palembang </t>
  </si>
  <si>
    <t>Sumatera Selatan</t>
  </si>
  <si>
    <t>Palembang</t>
  </si>
  <si>
    <t>NIS</t>
  </si>
  <si>
    <t>Universitas Islam Negeri Palopo</t>
  </si>
  <si>
    <t>Palopo</t>
  </si>
  <si>
    <t>9 Februari 2026</t>
  </si>
  <si>
    <t>16 s.d. 20 Februari 2026</t>
  </si>
  <si>
    <t>Universitas Islam Negeri Siber Syekh Nurjati Cirebon</t>
  </si>
  <si>
    <t>Cirebon</t>
  </si>
  <si>
    <t>18 s.d. 20 Februari 2026</t>
  </si>
  <si>
    <t>Politeknik Kesehatan Maluku</t>
  </si>
  <si>
    <t>Maluku</t>
  </si>
  <si>
    <t>Ambon</t>
  </si>
  <si>
    <t>16 Februari 2026</t>
  </si>
  <si>
    <t>23 s.d. 27 Februari 2026</t>
  </si>
  <si>
    <t>Universitas Islam Negeri Maulana Malik Ibrahim Malang</t>
  </si>
  <si>
    <t>Malang</t>
  </si>
  <si>
    <t>2 s.d. 5 Desember 2025</t>
  </si>
  <si>
    <t xml:space="preserve">⁠Universitas Islam Negeri Yogyakarta </t>
  </si>
  <si>
    <t>DI Yogyakarta</t>
  </si>
  <si>
    <t>Yogyakarta</t>
  </si>
  <si>
    <t>SBA</t>
  </si>
  <si>
    <t>KHA</t>
  </si>
  <si>
    <t>Politeknik Kesehatan Pontianak</t>
  </si>
  <si>
    <t>Kalimantan</t>
  </si>
  <si>
    <t>Kalimantan Barat</t>
  </si>
  <si>
    <t>Pontianak</t>
  </si>
  <si>
    <t>13 Februari 2026</t>
  </si>
  <si>
    <t>23 s.d 27 Februari 2026</t>
  </si>
  <si>
    <t>Politeknik Keuangan Negara STAN</t>
  </si>
  <si>
    <t>Tangerang Selatan</t>
  </si>
  <si>
    <t>Kementerian Keuangan</t>
  </si>
  <si>
    <t>RMS</t>
  </si>
  <si>
    <t>Politeknik Kesehatan Kalimantan Timur</t>
  </si>
  <si>
    <t>Kalimantan Timur</t>
  </si>
  <si>
    <t>Samarinda</t>
  </si>
  <si>
    <t>23 Februari 2026</t>
  </si>
  <si>
    <t>2 s.d. 6 Maret 2026</t>
  </si>
  <si>
    <t>Universitas Islam Negeri Ar-Raniry Aceh</t>
  </si>
  <si>
    <t>Aceh</t>
  </si>
  <si>
    <t>Banda Aceh</t>
  </si>
  <si>
    <t>MIA</t>
  </si>
  <si>
    <t>Politeknik Penerbangan Surabaya</t>
  </si>
  <si>
    <t>Surabaya</t>
  </si>
  <si>
    <t>Universitas Islam Negeri K.H. Abdurrahman Wahid Pekalongan</t>
  </si>
  <si>
    <t>Jawa Tengah</t>
  </si>
  <si>
    <t>Pekalongan</t>
  </si>
  <si>
    <t>2 s.d 6 Maret 2026</t>
  </si>
  <si>
    <t xml:space="preserve">Politeknik Pelayaran Surabaya </t>
  </si>
  <si>
    <t>Universitas Islam Negeri Salatiga</t>
  </si>
  <si>
    <t>Salatiga</t>
  </si>
  <si>
    <t>2 Maret 2026</t>
  </si>
  <si>
    <t>9 s.d. 13 Maret 2026</t>
  </si>
  <si>
    <t>Politeknik Kesehatan Medan</t>
  </si>
  <si>
    <t>Sumatera Utara</t>
  </si>
  <si>
    <t>Medan</t>
  </si>
  <si>
    <t>Universitas Islam Negeri Mataram</t>
  </si>
  <si>
    <t>Nusa Tenggara</t>
  </si>
  <si>
    <t>Nusa Tenggara Barat</t>
  </si>
  <si>
    <t>Mataram</t>
  </si>
  <si>
    <t>Rumah Sakit Umum Daerah (RSUD) Gunung Jati Kota Cirebon</t>
  </si>
  <si>
    <t>9 s.d 13 Maret 2026</t>
  </si>
  <si>
    <t>Badan Penyelenggara Jaminan Produk Halal (BPJPH)</t>
  </si>
  <si>
    <t>Jakarta Timur</t>
  </si>
  <si>
    <t>9 Maret 2026</t>
  </si>
  <si>
    <t>30 Maret s.d 2 April 2026</t>
  </si>
  <si>
    <t>Nama</t>
  </si>
  <si>
    <t>Kode</t>
  </si>
  <si>
    <t>Member</t>
  </si>
  <si>
    <t>Total</t>
  </si>
  <si>
    <t>Abdul Hamid</t>
  </si>
  <si>
    <t>Wilda Farah</t>
  </si>
  <si>
    <t>Syamsul Bahri</t>
  </si>
  <si>
    <t>Brian Pramudita</t>
  </si>
  <si>
    <t>Tumiran Tawirana</t>
  </si>
  <si>
    <t>Soliyah Wulandari</t>
  </si>
  <si>
    <t>Suhartono</t>
  </si>
  <si>
    <t>Rezky Mehta Setiadi</t>
  </si>
  <si>
    <t>Resi Ariyasa Qadri</t>
  </si>
  <si>
    <t>Yusar Sagara</t>
  </si>
  <si>
    <t>Fachriza Fayyad Fauzan</t>
  </si>
  <si>
    <t>Bayu Dwi Cahyanto</t>
  </si>
  <si>
    <t>Irma Nuranisa</t>
  </si>
  <si>
    <t>Khairunnisa</t>
  </si>
  <si>
    <t>Ananda Mohammad Rizky</t>
  </si>
  <si>
    <t>Muhammad Rifky Effendy</t>
  </si>
  <si>
    <t>Nur Isnaini</t>
  </si>
  <si>
    <t>Jeremi Octavianus Iroth</t>
  </si>
  <si>
    <t>Zuhaira Fadla Fachrina</t>
  </si>
  <si>
    <t>Ria Afrizal</t>
  </si>
  <si>
    <t>Rizka Amelia</t>
  </si>
  <si>
    <t>Ahmad Reski Tiarah</t>
  </si>
  <si>
    <t>Audy Alifia Rudy</t>
  </si>
  <si>
    <t>Muhammad Husni Faris</t>
  </si>
  <si>
    <t>Muhammad Luthfian Arif</t>
  </si>
  <si>
    <t>Cavin Valeri Nayotama</t>
  </si>
  <si>
    <t>Kievo Syah Guzman</t>
  </si>
  <si>
    <t>Mohammad Ilham Akbar</t>
  </si>
  <si>
    <t>Politeknik Kesehatan Kementerian Kesehatan Kupang</t>
  </si>
  <si>
    <t>-</t>
  </si>
  <si>
    <t>SBW</t>
  </si>
  <si>
    <t>FRA</t>
  </si>
  <si>
    <t>RPR</t>
  </si>
  <si>
    <t>Politeknik Kesehatan Kementerian Kesehatan Tanjung Karang</t>
  </si>
  <si>
    <t>MRI</t>
  </si>
  <si>
    <t>ZFJ</t>
  </si>
  <si>
    <t>Politeknik Kesehatan Kementerian Kesehatan Yogyakarta</t>
  </si>
  <si>
    <t>Politeknik Kesehatan Kementerian Kesehatan Surakarta</t>
  </si>
  <si>
    <t>DMU</t>
  </si>
  <si>
    <t>Politeknik Penerbangan Palembang</t>
  </si>
  <si>
    <t>Khairunnissa</t>
  </si>
  <si>
    <t>Satrio Bayu Wibowo</t>
  </si>
  <si>
    <t>Raden Panji Rangga Prasetyo</t>
  </si>
  <si>
    <t>Fakhira Rifa Adinda</t>
  </si>
  <si>
    <t>Muhamad Rizky</t>
  </si>
  <si>
    <t>Diva Muzdalipah</t>
  </si>
  <si>
    <t>Zulya Fathul Jannah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</si>
</sst>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&quot;mmmm&quot; &quot;yyyy"/>
    <numFmt numFmtId="165" formatCode="d\ mmmm\ 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rebuchet MS"/>
    </font>
    <font>
      <b/>
      <sz val="12"/>
      <color theme="1"/>
      <name val="Trebuchet MS"/>
    </font>
    <font>
      <sz val="11"/>
      <name val="Calibri"/>
    </font>
    <font>
      <b/>
      <u/>
      <sz val="12"/>
      <color theme="1"/>
      <name val="Trebuchet MS"/>
    </font>
    <font>
      <b/>
      <i/>
      <u/>
      <sz val="12"/>
      <color theme="1"/>
      <name val="Trebuchet MS"/>
    </font>
    <font>
      <i/>
      <sz val="12"/>
      <color theme="1"/>
      <name val="Trebuchet MS"/>
    </font>
    <font>
      <b/>
      <i/>
      <u/>
      <sz val="12"/>
      <color rgb="FFFF0000"/>
      <name val="Trebuchet MS"/>
    </font>
    <font>
      <i/>
      <u/>
      <sz val="12"/>
      <color rgb="FFFF0000"/>
      <name val="Trebuchet MS"/>
    </font>
    <font>
      <sz val="13"/>
      <color theme="1"/>
      <name val="Trebuchet MS"/>
    </font>
    <font>
      <sz val="12"/>
      <color rgb="FFFF0000"/>
      <name val="Trebuchet MS"/>
    </font>
    <font>
      <b/>
      <u/>
      <sz val="12"/>
      <color rgb="FF000000"/>
      <name val="Trebuchet MS"/>
    </font>
    <font>
      <sz val="12"/>
      <color rgb="FF000000"/>
      <name val="Trebuchet MS"/>
    </font>
    <font>
      <sz val="13"/>
      <color rgb="FF000000"/>
      <name val="Trebuchet MS"/>
    </font>
    <font>
      <i/>
      <sz val="12"/>
      <color rgb="FF000000"/>
      <name val="Trebuchet MS"/>
    </font>
    <font>
      <b/>
      <i/>
      <u/>
      <sz val="13"/>
      <color theme="1"/>
      <name val="Trebuchet MS"/>
    </font>
    <font>
      <sz val="11"/>
      <color theme="1"/>
      <name val="Calibri"/>
    </font>
    <font>
      <b/>
      <sz val="11"/>
      <color rgb="FF000000"/>
      <name val="&quot;Aptos Narrow&quot;"/>
    </font>
    <font>
      <b/>
      <sz val="11"/>
      <color theme="1"/>
      <name val="Calibri"/>
      <scheme val="minor"/>
    </font>
    <font>
      <sz val="11"/>
      <color rgb="FF000000"/>
      <name val="Arial"/>
    </font>
    <font>
      <sz val="11"/>
      <color rgb="FF000000"/>
      <name val="&quot;Aptos Narrow&quot;"/>
    </font>
  </fonts>
  <fills count="1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  <fill>
      <patternFill patternType="solid">
        <fgColor rgb="FF8EAADB"/>
        <bgColor rgb="FF8EAADB"/>
      </patternFill>
    </fill>
    <fill>
      <patternFill patternType="solid">
        <fgColor rgb="FFFF88E4"/>
        <bgColor rgb="FFFF88E4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4EA72E"/>
        <bgColor rgb="FF4EA72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1" fillId="0" borderId="0" xfId="1"/>
    <xf numFmtId="0" fontId="3" fillId="2" borderId="1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center" vertical="top" wrapText="1"/>
    </xf>
    <xf numFmtId="0" fontId="2" fillId="3" borderId="6" xfId="1" applyFont="1" applyFill="1" applyBorder="1" applyAlignment="1">
      <alignment horizontal="center" vertical="top" wrapText="1"/>
    </xf>
    <xf numFmtId="0" fontId="6" fillId="3" borderId="6" xfId="1" applyFont="1" applyFill="1" applyBorder="1" applyAlignment="1">
      <alignment horizontal="center" vertical="top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vertical="center" wrapText="1"/>
    </xf>
    <xf numFmtId="0" fontId="2" fillId="4" borderId="6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left" vertical="center"/>
    </xf>
    <xf numFmtId="0" fontId="5" fillId="4" borderId="6" xfId="1" applyFont="1" applyFill="1" applyBorder="1" applyAlignment="1">
      <alignment horizontal="center" vertical="top" wrapText="1"/>
    </xf>
    <xf numFmtId="0" fontId="2" fillId="4" borderId="6" xfId="1" applyFont="1" applyFill="1" applyBorder="1" applyAlignment="1">
      <alignment horizontal="center" vertical="top" wrapText="1"/>
    </xf>
    <xf numFmtId="0" fontId="6" fillId="4" borderId="6" xfId="1" applyFont="1" applyFill="1" applyBorder="1" applyAlignment="1">
      <alignment horizontal="center" vertical="top" wrapText="1"/>
    </xf>
    <xf numFmtId="0" fontId="2" fillId="4" borderId="4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vertical="center" wrapText="1"/>
    </xf>
    <xf numFmtId="0" fontId="3" fillId="0" borderId="0" xfId="1" applyFont="1" applyAlignment="1">
      <alignment vertical="center"/>
    </xf>
    <xf numFmtId="0" fontId="7" fillId="4" borderId="6" xfId="1" applyFont="1" applyFill="1" applyBorder="1" applyAlignment="1">
      <alignment horizontal="center" vertical="top" wrapText="1"/>
    </xf>
    <xf numFmtId="164" fontId="2" fillId="4" borderId="4" xfId="1" applyNumberFormat="1" applyFont="1" applyFill="1" applyBorder="1" applyAlignment="1">
      <alignment horizontal="center" vertical="center" wrapText="1"/>
    </xf>
    <xf numFmtId="0" fontId="2" fillId="5" borderId="6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left" vertical="center"/>
    </xf>
    <xf numFmtId="0" fontId="5" fillId="5" borderId="6" xfId="1" applyFont="1" applyFill="1" applyBorder="1" applyAlignment="1">
      <alignment horizontal="center" vertical="top" wrapText="1"/>
    </xf>
    <xf numFmtId="0" fontId="2" fillId="5" borderId="6" xfId="1" applyFont="1" applyFill="1" applyBorder="1" applyAlignment="1">
      <alignment horizontal="center" vertical="top" wrapText="1"/>
    </xf>
    <xf numFmtId="0" fontId="8" fillId="6" borderId="6" xfId="1" applyFont="1" applyFill="1" applyBorder="1" applyAlignment="1">
      <alignment horizontal="center" vertical="top" wrapText="1"/>
    </xf>
    <xf numFmtId="0" fontId="2" fillId="5" borderId="4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center" vertical="center" wrapText="1"/>
    </xf>
    <xf numFmtId="0" fontId="2" fillId="5" borderId="6" xfId="1" applyFont="1" applyFill="1" applyBorder="1" applyAlignment="1">
      <alignment vertical="center" wrapText="1"/>
    </xf>
    <xf numFmtId="0" fontId="7" fillId="5" borderId="6" xfId="1" applyFont="1" applyFill="1" applyBorder="1" applyAlignment="1">
      <alignment horizontal="center" vertical="top" wrapText="1"/>
    </xf>
    <xf numFmtId="0" fontId="9" fillId="6" borderId="6" xfId="1" applyFont="1" applyFill="1" applyBorder="1" applyAlignment="1">
      <alignment horizontal="center" vertical="top" wrapText="1"/>
    </xf>
    <xf numFmtId="164" fontId="2" fillId="5" borderId="4" xfId="1" applyNumberFormat="1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top" wrapText="1"/>
    </xf>
    <xf numFmtId="0" fontId="6" fillId="5" borderId="6" xfId="1" applyFont="1" applyFill="1" applyBorder="1" applyAlignment="1">
      <alignment horizontal="center" vertical="top" wrapText="1"/>
    </xf>
    <xf numFmtId="0" fontId="11" fillId="6" borderId="6" xfId="1" applyFont="1" applyFill="1" applyBorder="1" applyAlignment="1">
      <alignment horizontal="center" vertical="top" wrapText="1"/>
    </xf>
    <xf numFmtId="0" fontId="2" fillId="7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left" vertical="center"/>
    </xf>
    <xf numFmtId="0" fontId="5" fillId="7" borderId="6" xfId="1" applyFont="1" applyFill="1" applyBorder="1" applyAlignment="1">
      <alignment horizontal="center" vertical="top" wrapText="1"/>
    </xf>
    <xf numFmtId="0" fontId="2" fillId="7" borderId="6" xfId="1" applyFont="1" applyFill="1" applyBorder="1" applyAlignment="1">
      <alignment horizontal="center" vertical="top" wrapText="1"/>
    </xf>
    <xf numFmtId="0" fontId="6" fillId="7" borderId="6" xfId="1" applyFont="1" applyFill="1" applyBorder="1" applyAlignment="1">
      <alignment horizontal="center" vertical="top" wrapText="1"/>
    </xf>
    <xf numFmtId="0" fontId="2" fillId="7" borderId="4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 wrapText="1"/>
    </xf>
    <xf numFmtId="0" fontId="2" fillId="7" borderId="6" xfId="1" applyFont="1" applyFill="1" applyBorder="1" applyAlignment="1">
      <alignment vertical="center" wrapText="1"/>
    </xf>
    <xf numFmtId="164" fontId="2" fillId="7" borderId="4" xfId="1" applyNumberFormat="1" applyFont="1" applyFill="1" applyBorder="1" applyAlignment="1">
      <alignment horizontal="center" vertical="center" wrapText="1"/>
    </xf>
    <xf numFmtId="0" fontId="7" fillId="7" borderId="6" xfId="1" applyFont="1" applyFill="1" applyBorder="1" applyAlignment="1">
      <alignment horizontal="center" vertical="top" wrapText="1"/>
    </xf>
    <xf numFmtId="0" fontId="2" fillId="8" borderId="6" xfId="1" applyFont="1" applyFill="1" applyBorder="1" applyAlignment="1">
      <alignment horizontal="center" vertical="center"/>
    </xf>
    <xf numFmtId="0" fontId="2" fillId="8" borderId="6" xfId="1" applyFont="1" applyFill="1" applyBorder="1" applyAlignment="1">
      <alignment vertical="center"/>
    </xf>
    <xf numFmtId="0" fontId="2" fillId="8" borderId="2" xfId="1" applyFont="1" applyFill="1" applyBorder="1" applyAlignment="1">
      <alignment horizontal="center" vertical="center"/>
    </xf>
    <xf numFmtId="0" fontId="2" fillId="8" borderId="6" xfId="1" applyFont="1" applyFill="1" applyBorder="1" applyAlignment="1">
      <alignment horizontal="left" vertical="center"/>
    </xf>
    <xf numFmtId="0" fontId="5" fillId="8" borderId="6" xfId="1" applyFont="1" applyFill="1" applyBorder="1" applyAlignment="1">
      <alignment horizontal="center" vertical="top" wrapText="1"/>
    </xf>
    <xf numFmtId="0" fontId="2" fillId="8" borderId="6" xfId="1" applyFont="1" applyFill="1" applyBorder="1" applyAlignment="1">
      <alignment horizontal="center" vertical="top" wrapText="1"/>
    </xf>
    <xf numFmtId="0" fontId="2" fillId="8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/>
    </xf>
    <xf numFmtId="0" fontId="2" fillId="8" borderId="6" xfId="1" applyFont="1" applyFill="1" applyBorder="1" applyAlignment="1">
      <alignment horizontal="center" vertical="center" wrapText="1"/>
    </xf>
    <xf numFmtId="0" fontId="2" fillId="8" borderId="6" xfId="1" applyFont="1" applyFill="1" applyBorder="1" applyAlignment="1">
      <alignment vertical="center" wrapText="1"/>
    </xf>
    <xf numFmtId="0" fontId="12" fillId="8" borderId="6" xfId="1" applyFont="1" applyFill="1" applyBorder="1" applyAlignment="1">
      <alignment horizontal="center" vertical="top" wrapText="1"/>
    </xf>
    <xf numFmtId="0" fontId="13" fillId="8" borderId="6" xfId="1" applyFont="1" applyFill="1" applyBorder="1" applyAlignment="1">
      <alignment horizontal="center" vertical="top" wrapText="1"/>
    </xf>
    <xf numFmtId="0" fontId="6" fillId="8" borderId="6" xfId="1" applyFont="1" applyFill="1" applyBorder="1" applyAlignment="1">
      <alignment horizontal="center" vertical="top" wrapText="1"/>
    </xf>
    <xf numFmtId="164" fontId="2" fillId="8" borderId="4" xfId="1" applyNumberFormat="1" applyFont="1" applyFill="1" applyBorder="1" applyAlignment="1">
      <alignment horizontal="center" vertical="center" wrapText="1"/>
    </xf>
    <xf numFmtId="0" fontId="14" fillId="8" borderId="6" xfId="1" applyFont="1" applyFill="1" applyBorder="1" applyAlignment="1">
      <alignment horizontal="center" vertical="top" wrapText="1"/>
    </xf>
    <xf numFmtId="0" fontId="10" fillId="8" borderId="6" xfId="1" applyFont="1" applyFill="1" applyBorder="1" applyAlignment="1">
      <alignment vertical="center"/>
    </xf>
    <xf numFmtId="0" fontId="2" fillId="9" borderId="6" xfId="1" applyFont="1" applyFill="1" applyBorder="1" applyAlignment="1">
      <alignment horizontal="center" vertical="center"/>
    </xf>
    <xf numFmtId="0" fontId="2" fillId="9" borderId="6" xfId="1" applyFont="1" applyFill="1" applyBorder="1" applyAlignment="1">
      <alignment vertical="center"/>
    </xf>
    <xf numFmtId="0" fontId="2" fillId="9" borderId="2" xfId="1" applyFont="1" applyFill="1" applyBorder="1" applyAlignment="1">
      <alignment horizontal="center" vertical="center"/>
    </xf>
    <xf numFmtId="0" fontId="2" fillId="9" borderId="6" xfId="1" applyFont="1" applyFill="1" applyBorder="1" applyAlignment="1">
      <alignment horizontal="left" vertical="center"/>
    </xf>
    <xf numFmtId="0" fontId="12" fillId="9" borderId="6" xfId="1" applyFont="1" applyFill="1" applyBorder="1" applyAlignment="1">
      <alignment horizontal="center" vertical="top" wrapText="1"/>
    </xf>
    <xf numFmtId="0" fontId="13" fillId="9" borderId="6" xfId="1" applyFont="1" applyFill="1" applyBorder="1" applyAlignment="1">
      <alignment horizontal="center" vertical="top" wrapText="1"/>
    </xf>
    <xf numFmtId="0" fontId="2" fillId="9" borderId="6" xfId="1" applyFont="1" applyFill="1" applyBorder="1" applyAlignment="1">
      <alignment horizontal="center" vertical="top" wrapText="1"/>
    </xf>
    <xf numFmtId="0" fontId="6" fillId="9" borderId="6" xfId="1" applyFont="1" applyFill="1" applyBorder="1" applyAlignment="1">
      <alignment horizontal="center" vertical="top" wrapText="1"/>
    </xf>
    <xf numFmtId="0" fontId="2" fillId="9" borderId="4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/>
    </xf>
    <xf numFmtId="0" fontId="2" fillId="9" borderId="6" xfId="1" applyFont="1" applyFill="1" applyBorder="1" applyAlignment="1">
      <alignment horizontal="center" vertical="center" wrapText="1"/>
    </xf>
    <xf numFmtId="0" fontId="2" fillId="9" borderId="6" xfId="1" applyFont="1" applyFill="1" applyBorder="1" applyAlignment="1">
      <alignment vertical="center" wrapText="1"/>
    </xf>
    <xf numFmtId="0" fontId="2" fillId="10" borderId="6" xfId="1" applyFont="1" applyFill="1" applyBorder="1" applyAlignment="1">
      <alignment horizontal="center" vertical="center"/>
    </xf>
    <xf numFmtId="0" fontId="2" fillId="10" borderId="6" xfId="1" applyFont="1" applyFill="1" applyBorder="1" applyAlignment="1">
      <alignment vertical="center"/>
    </xf>
    <xf numFmtId="0" fontId="2" fillId="10" borderId="2" xfId="1" applyFont="1" applyFill="1" applyBorder="1" applyAlignment="1">
      <alignment horizontal="center" vertical="center"/>
    </xf>
    <xf numFmtId="0" fontId="2" fillId="10" borderId="6" xfId="1" applyFont="1" applyFill="1" applyBorder="1" applyAlignment="1">
      <alignment horizontal="left" vertical="center"/>
    </xf>
    <xf numFmtId="0" fontId="12" fillId="10" borderId="6" xfId="1" applyFont="1" applyFill="1" applyBorder="1" applyAlignment="1">
      <alignment horizontal="center" vertical="top" wrapText="1"/>
    </xf>
    <xf numFmtId="0" fontId="13" fillId="10" borderId="6" xfId="1" applyFont="1" applyFill="1" applyBorder="1" applyAlignment="1">
      <alignment horizontal="center" vertical="top" wrapText="1"/>
    </xf>
    <xf numFmtId="0" fontId="2" fillId="10" borderId="6" xfId="1" applyFont="1" applyFill="1" applyBorder="1" applyAlignment="1">
      <alignment horizontal="center" vertical="top" wrapText="1"/>
    </xf>
    <xf numFmtId="0" fontId="6" fillId="10" borderId="6" xfId="1" applyFont="1" applyFill="1" applyBorder="1" applyAlignment="1">
      <alignment horizontal="center" vertical="top" wrapText="1"/>
    </xf>
    <xf numFmtId="0" fontId="2" fillId="10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/>
    </xf>
    <xf numFmtId="0" fontId="2" fillId="10" borderId="6" xfId="1" applyFont="1" applyFill="1" applyBorder="1" applyAlignment="1">
      <alignment horizontal="center" vertical="center" wrapText="1"/>
    </xf>
    <xf numFmtId="0" fontId="2" fillId="10" borderId="6" xfId="1" applyFont="1" applyFill="1" applyBorder="1" applyAlignment="1">
      <alignment vertical="center" wrapText="1"/>
    </xf>
    <xf numFmtId="0" fontId="10" fillId="10" borderId="6" xfId="1" applyFont="1" applyFill="1" applyBorder="1" applyAlignment="1">
      <alignment vertical="center"/>
    </xf>
    <xf numFmtId="0" fontId="10" fillId="10" borderId="6" xfId="1" applyFont="1" applyFill="1" applyBorder="1" applyAlignment="1">
      <alignment horizontal="center" vertical="top" wrapText="1"/>
    </xf>
    <xf numFmtId="165" fontId="2" fillId="10" borderId="4" xfId="1" applyNumberFormat="1" applyFont="1" applyFill="1" applyBorder="1" applyAlignment="1">
      <alignment horizontal="center" vertical="center" wrapText="1"/>
    </xf>
    <xf numFmtId="164" fontId="2" fillId="10" borderId="4" xfId="1" applyNumberFormat="1" applyFont="1" applyFill="1" applyBorder="1" applyAlignment="1">
      <alignment horizontal="center" vertical="center" wrapText="1"/>
    </xf>
    <xf numFmtId="0" fontId="15" fillId="10" borderId="6" xfId="1" applyFont="1" applyFill="1" applyBorder="1" applyAlignment="1">
      <alignment horizontal="center" vertical="top" wrapText="1"/>
    </xf>
    <xf numFmtId="0" fontId="16" fillId="10" borderId="6" xfId="1" applyFont="1" applyFill="1" applyBorder="1" applyAlignment="1">
      <alignment horizontal="center" vertical="top" wrapText="1"/>
    </xf>
    <xf numFmtId="0" fontId="2" fillId="11" borderId="6" xfId="1" applyFont="1" applyFill="1" applyBorder="1" applyAlignment="1">
      <alignment horizontal="center" vertical="center"/>
    </xf>
    <xf numFmtId="0" fontId="2" fillId="11" borderId="6" xfId="1" applyFont="1" applyFill="1" applyBorder="1" applyAlignment="1">
      <alignment vertical="center"/>
    </xf>
    <xf numFmtId="0" fontId="2" fillId="11" borderId="2" xfId="1" applyFont="1" applyFill="1" applyBorder="1" applyAlignment="1">
      <alignment horizontal="center" vertical="center"/>
    </xf>
    <xf numFmtId="0" fontId="2" fillId="11" borderId="6" xfId="1" applyFont="1" applyFill="1" applyBorder="1" applyAlignment="1">
      <alignment horizontal="left" vertical="center"/>
    </xf>
    <xf numFmtId="0" fontId="12" fillId="11" borderId="6" xfId="1" applyFont="1" applyFill="1" applyBorder="1" applyAlignment="1">
      <alignment horizontal="center" vertical="top" wrapText="1"/>
    </xf>
    <xf numFmtId="0" fontId="13" fillId="11" borderId="6" xfId="1" applyFont="1" applyFill="1" applyBorder="1" applyAlignment="1">
      <alignment horizontal="center" vertical="top" wrapText="1"/>
    </xf>
    <xf numFmtId="0" fontId="2" fillId="11" borderId="6" xfId="1" applyFont="1" applyFill="1" applyBorder="1" applyAlignment="1">
      <alignment horizontal="center" vertical="top" wrapText="1"/>
    </xf>
    <xf numFmtId="0" fontId="6" fillId="11" borderId="6" xfId="1" applyFont="1" applyFill="1" applyBorder="1" applyAlignment="1">
      <alignment horizontal="center" vertical="top" wrapText="1"/>
    </xf>
    <xf numFmtId="0" fontId="2" fillId="11" borderId="4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/>
    </xf>
    <xf numFmtId="0" fontId="2" fillId="11" borderId="6" xfId="1" applyFont="1" applyFill="1" applyBorder="1" applyAlignment="1">
      <alignment horizontal="center" vertical="center" wrapText="1"/>
    </xf>
    <xf numFmtId="0" fontId="2" fillId="11" borderId="6" xfId="1" applyFont="1" applyFill="1" applyBorder="1" applyAlignment="1">
      <alignment vertical="center" wrapText="1"/>
    </xf>
    <xf numFmtId="0" fontId="2" fillId="11" borderId="6" xfId="1" applyFont="1" applyFill="1" applyBorder="1"/>
    <xf numFmtId="0" fontId="2" fillId="11" borderId="6" xfId="1" applyFont="1" applyFill="1" applyBorder="1" applyAlignment="1">
      <alignment horizontal="center"/>
    </xf>
    <xf numFmtId="0" fontId="2" fillId="11" borderId="2" xfId="1" applyFont="1" applyFill="1" applyBorder="1" applyAlignment="1">
      <alignment horizontal="center"/>
    </xf>
    <xf numFmtId="0" fontId="17" fillId="11" borderId="6" xfId="1" applyFont="1" applyFill="1" applyBorder="1" applyAlignment="1">
      <alignment vertical="top"/>
    </xf>
    <xf numFmtId="164" fontId="2" fillId="11" borderId="4" xfId="1" applyNumberFormat="1" applyFont="1" applyFill="1" applyBorder="1" applyAlignment="1">
      <alignment horizontal="center" wrapText="1"/>
    </xf>
    <xf numFmtId="0" fontId="17" fillId="11" borderId="4" xfId="1" applyFont="1" applyFill="1" applyBorder="1"/>
    <xf numFmtId="0" fontId="2" fillId="11" borderId="6" xfId="1" applyFont="1" applyFill="1" applyBorder="1" applyAlignment="1">
      <alignment horizontal="center" wrapText="1"/>
    </xf>
    <xf numFmtId="0" fontId="17" fillId="11" borderId="6" xfId="1" applyFont="1" applyFill="1" applyBorder="1"/>
    <xf numFmtId="0" fontId="17" fillId="0" borderId="0" xfId="1" applyFont="1"/>
    <xf numFmtId="0" fontId="10" fillId="11" borderId="6" xfId="1" applyFont="1" applyFill="1" applyBorder="1" applyAlignment="1">
      <alignment horizontal="center" vertical="top" wrapText="1"/>
    </xf>
    <xf numFmtId="0" fontId="2" fillId="12" borderId="6" xfId="1" applyFont="1" applyFill="1" applyBorder="1" applyAlignment="1">
      <alignment horizontal="center" vertical="center"/>
    </xf>
    <xf numFmtId="0" fontId="2" fillId="12" borderId="6" xfId="1" applyFont="1" applyFill="1" applyBorder="1" applyAlignment="1">
      <alignment vertical="center"/>
    </xf>
    <xf numFmtId="0" fontId="2" fillId="12" borderId="2" xfId="1" applyFont="1" applyFill="1" applyBorder="1" applyAlignment="1">
      <alignment horizontal="center" vertical="center"/>
    </xf>
    <xf numFmtId="0" fontId="2" fillId="12" borderId="6" xfId="1" applyFont="1" applyFill="1" applyBorder="1" applyAlignment="1">
      <alignment horizontal="left" vertical="center"/>
    </xf>
    <xf numFmtId="0" fontId="5" fillId="12" borderId="6" xfId="1" applyFont="1" applyFill="1" applyBorder="1" applyAlignment="1">
      <alignment horizontal="center" vertical="top" wrapText="1"/>
    </xf>
    <xf numFmtId="0" fontId="2" fillId="12" borderId="6" xfId="1" applyFont="1" applyFill="1" applyBorder="1" applyAlignment="1">
      <alignment horizontal="center" vertical="top" wrapText="1"/>
    </xf>
    <xf numFmtId="0" fontId="6" fillId="12" borderId="6" xfId="1" applyFont="1" applyFill="1" applyBorder="1" applyAlignment="1">
      <alignment horizontal="center" vertical="top" wrapText="1"/>
    </xf>
    <xf numFmtId="0" fontId="2" fillId="12" borderId="4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/>
    </xf>
    <xf numFmtId="0" fontId="2" fillId="12" borderId="6" xfId="1" applyFont="1" applyFill="1" applyBorder="1" applyAlignment="1">
      <alignment horizontal="center" vertical="center" wrapText="1"/>
    </xf>
    <xf numFmtId="0" fontId="2" fillId="12" borderId="6" xfId="1" applyFont="1" applyFill="1" applyBorder="1" applyAlignment="1">
      <alignment vertical="center" wrapText="1"/>
    </xf>
    <xf numFmtId="0" fontId="11" fillId="12" borderId="6" xfId="1" applyFont="1" applyFill="1" applyBorder="1" applyAlignment="1">
      <alignment horizontal="center" vertical="top" wrapText="1"/>
    </xf>
    <xf numFmtId="164" fontId="2" fillId="12" borderId="4" xfId="1" applyNumberFormat="1" applyFont="1" applyFill="1" applyBorder="1" applyAlignment="1">
      <alignment horizontal="center" vertical="center" wrapText="1"/>
    </xf>
    <xf numFmtId="0" fontId="2" fillId="13" borderId="6" xfId="1" applyFont="1" applyFill="1" applyBorder="1" applyAlignment="1">
      <alignment horizontal="center" vertical="center"/>
    </xf>
    <xf numFmtId="0" fontId="2" fillId="13" borderId="6" xfId="1" applyFont="1" applyFill="1" applyBorder="1" applyAlignment="1">
      <alignment vertical="center"/>
    </xf>
    <xf numFmtId="0" fontId="2" fillId="13" borderId="2" xfId="1" applyFont="1" applyFill="1" applyBorder="1" applyAlignment="1">
      <alignment horizontal="center" vertical="center"/>
    </xf>
    <xf numFmtId="0" fontId="2" fillId="13" borderId="6" xfId="1" applyFont="1" applyFill="1" applyBorder="1" applyAlignment="1">
      <alignment horizontal="left" vertical="center"/>
    </xf>
    <xf numFmtId="0" fontId="5" fillId="13" borderId="6" xfId="1" applyFont="1" applyFill="1" applyBorder="1" applyAlignment="1">
      <alignment horizontal="center" vertical="top" wrapText="1"/>
    </xf>
    <xf numFmtId="0" fontId="2" fillId="13" borderId="6" xfId="1" applyFont="1" applyFill="1" applyBorder="1" applyAlignment="1">
      <alignment horizontal="center" vertical="top" wrapText="1"/>
    </xf>
    <xf numFmtId="0" fontId="6" fillId="13" borderId="6" xfId="1" applyFont="1" applyFill="1" applyBorder="1" applyAlignment="1">
      <alignment horizontal="center" vertical="top" wrapText="1"/>
    </xf>
    <xf numFmtId="0" fontId="2" fillId="13" borderId="4" xfId="1" applyFont="1" applyFill="1" applyBorder="1" applyAlignment="1">
      <alignment horizontal="center" vertical="center" wrapText="1"/>
    </xf>
    <xf numFmtId="0" fontId="2" fillId="13" borderId="4" xfId="1" applyFont="1" applyFill="1" applyBorder="1" applyAlignment="1">
      <alignment horizontal="center" vertical="center"/>
    </xf>
    <xf numFmtId="0" fontId="2" fillId="13" borderId="6" xfId="1" applyFont="1" applyFill="1" applyBorder="1" applyAlignment="1">
      <alignment horizontal="center" vertical="center" wrapText="1"/>
    </xf>
    <xf numFmtId="0" fontId="2" fillId="13" borderId="6" xfId="1" applyFont="1" applyFill="1" applyBorder="1" applyAlignment="1">
      <alignment vertical="center" wrapText="1"/>
    </xf>
    <xf numFmtId="0" fontId="2" fillId="0" borderId="6" xfId="1" applyFont="1" applyBorder="1" applyAlignment="1">
      <alignment vertical="center"/>
    </xf>
    <xf numFmtId="0" fontId="2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vertical="center"/>
    </xf>
    <xf numFmtId="0" fontId="10" fillId="0" borderId="6" xfId="1" applyFont="1" applyBorder="1" applyAlignment="1">
      <alignment horizontal="center" vertical="center"/>
    </xf>
    <xf numFmtId="0" fontId="18" fillId="14" borderId="6" xfId="1" applyFont="1" applyFill="1" applyBorder="1" applyAlignment="1">
      <alignment horizontal="center"/>
    </xf>
    <xf numFmtId="0" fontId="19" fillId="0" borderId="0" xfId="1" applyFont="1"/>
    <xf numFmtId="0" fontId="20" fillId="0" borderId="6" xfId="1" applyFont="1" applyBorder="1"/>
    <xf numFmtId="0" fontId="21" fillId="0" borderId="6" xfId="1" applyFont="1" applyBorder="1"/>
    <xf numFmtId="0" fontId="21" fillId="0" borderId="6" xfId="1" applyFont="1" applyBorder="1" applyAlignment="1">
      <alignment horizontal="center"/>
    </xf>
    <xf numFmtId="0" fontId="21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4" fillId="0" borderId="5" xfId="1" applyFont="1" applyBorder="1"/>
    <xf numFmtId="0" fontId="3" fillId="2" borderId="2" xfId="1" applyFont="1" applyFill="1" applyBorder="1" applyAlignment="1">
      <alignment horizontal="center" vertical="center"/>
    </xf>
    <xf numFmtId="0" fontId="4" fillId="0" borderId="3" xfId="1" applyFont="1" applyBorder="1"/>
    <xf numFmtId="0" fontId="4" fillId="0" borderId="4" xfId="1" applyFont="1" applyBorder="1"/>
    <xf numFmtId="0" fontId="3" fillId="2" borderId="1" xfId="1" applyFont="1" applyFill="1" applyBorder="1" applyAlignment="1">
      <alignment horizontal="center" vertical="center"/>
    </xf>
    <xf numFmtId="0" fontId="18" fillId="14" borderId="1" xfId="1" applyFont="1" applyFill="1" applyBorder="1" applyAlignment="1">
      <alignment horizontal="center"/>
    </xf>
    <xf numFmtId="0" fontId="18" fillId="14" borderId="2" xfId="1" applyFont="1" applyFill="1" applyBorder="1" applyAlignment="1">
      <alignment horizontal="center"/>
    </xf>
    <xf numFmtId="0" fontId="20" fillId="0" borderId="0" xfId="1" applyFont="1"/>
    <xf numFmtId="0" fontId="1" fillId="0" borderId="0" xfId="1"/>
  </cellXfs>
  <cellStyles count="2">
    <cellStyle name="Normal" xfId="0" builtinId="0"/>
    <cellStyle name="Normal 2" xfId="1" xr:uid="{FF9494AF-4123-4119-B23F-BC1B530644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5F03-8773-4152-9EA5-73923420D248}">
  <dimension ref="A1:AU1009"/>
  <sheetViews>
    <sheetView tabSelected="1" zoomScale="112"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G1" sqref="G1"/>
    </sheetView>
  </sheetViews>
  <sheetFormatPr defaultColWidth="14.44140625" defaultRowHeight="15" customHeight="1"/>
  <cols>
    <col min="1" max="1" width="8.5546875" style="5" customWidth="1"/>
    <col min="2" max="2" width="64.44140625" style="5" customWidth="1"/>
    <col min="3" max="3" width="15.44140625" style="5" hidden="1" customWidth="1"/>
    <col min="4" max="4" width="21.77734375" style="5" hidden="1" customWidth="1"/>
    <col min="5" max="5" width="19.44140625" style="5" hidden="1" customWidth="1"/>
    <col min="6" max="6" width="28" style="5" customWidth="1"/>
    <col min="7" max="7" width="13.44140625" style="5" customWidth="1"/>
    <col min="8" max="8" width="14.44140625" style="5" customWidth="1"/>
    <col min="9" max="9" width="16.5546875" style="5" customWidth="1"/>
    <col min="10" max="10" width="19.109375" style="5" customWidth="1"/>
    <col min="11" max="13" width="14.109375" style="5" customWidth="1"/>
    <col min="14" max="14" width="16.77734375" style="5" hidden="1" customWidth="1"/>
    <col min="15" max="15" width="22" style="5" customWidth="1"/>
    <col min="16" max="16" width="26.77734375" style="5" customWidth="1"/>
    <col min="17" max="17" width="32" style="5" customWidth="1"/>
    <col min="18" max="18" width="22.5546875" style="5" customWidth="1"/>
    <col min="19" max="19" width="14.77734375" style="5" customWidth="1"/>
    <col min="20" max="20" width="15.44140625" style="5" customWidth="1"/>
    <col min="21" max="21" width="14" style="5" customWidth="1"/>
    <col min="22" max="22" width="8.5546875" style="5" customWidth="1"/>
    <col min="23" max="47" width="8.77734375" style="5" customWidth="1"/>
    <col min="48" max="16384" width="14.44140625" style="5"/>
  </cols>
  <sheetData>
    <row r="1" spans="1:47" ht="16.2">
      <c r="A1" s="1"/>
      <c r="B1" s="1"/>
      <c r="C1" s="2"/>
      <c r="D1" s="2"/>
      <c r="E1" s="1"/>
      <c r="F1" s="2"/>
      <c r="G1" s="1"/>
      <c r="H1" s="1"/>
      <c r="I1" s="1"/>
      <c r="J1" s="1"/>
      <c r="K1" s="1"/>
      <c r="L1" s="1"/>
      <c r="M1" s="1"/>
      <c r="N1" s="1"/>
      <c r="O1" s="3"/>
      <c r="P1" s="2"/>
      <c r="Q1" s="2"/>
      <c r="R1" s="4"/>
      <c r="S1" s="3"/>
      <c r="T1" s="3"/>
      <c r="U1" s="4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5" customHeight="1">
      <c r="A2" s="6" t="s">
        <v>0</v>
      </c>
      <c r="B2" s="6" t="s">
        <v>1</v>
      </c>
      <c r="C2" s="170" t="s">
        <v>2</v>
      </c>
      <c r="D2" s="171"/>
      <c r="E2" s="172"/>
      <c r="F2" s="6" t="s">
        <v>3</v>
      </c>
      <c r="G2" s="170" t="s">
        <v>4</v>
      </c>
      <c r="H2" s="171"/>
      <c r="I2" s="171"/>
      <c r="J2" s="171"/>
      <c r="K2" s="171"/>
      <c r="L2" s="171"/>
      <c r="M2" s="171"/>
      <c r="N2" s="172"/>
      <c r="O2" s="168" t="s">
        <v>5</v>
      </c>
      <c r="P2" s="173" t="s">
        <v>6</v>
      </c>
      <c r="Q2" s="173" t="s">
        <v>7</v>
      </c>
      <c r="R2" s="168" t="s">
        <v>8</v>
      </c>
      <c r="S2" s="168" t="s">
        <v>9</v>
      </c>
      <c r="T2" s="168" t="s">
        <v>10</v>
      </c>
      <c r="U2" s="168" t="s">
        <v>11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6.2">
      <c r="A3" s="7"/>
      <c r="B3" s="7"/>
      <c r="C3" s="8" t="s">
        <v>12</v>
      </c>
      <c r="D3" s="8" t="s">
        <v>13</v>
      </c>
      <c r="E3" s="8" t="s">
        <v>14</v>
      </c>
      <c r="F3" s="7"/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169"/>
      <c r="P3" s="169"/>
      <c r="Q3" s="169"/>
      <c r="R3" s="169"/>
      <c r="S3" s="169"/>
      <c r="T3" s="169"/>
      <c r="U3" s="16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ht="16.2">
      <c r="A4" s="10">
        <v>1</v>
      </c>
      <c r="B4" s="11" t="s">
        <v>23</v>
      </c>
      <c r="C4" s="10" t="s">
        <v>24</v>
      </c>
      <c r="D4" s="10" t="s">
        <v>25</v>
      </c>
      <c r="E4" s="12" t="s">
        <v>26</v>
      </c>
      <c r="F4" s="13" t="s">
        <v>27</v>
      </c>
      <c r="G4" s="14" t="s">
        <v>28</v>
      </c>
      <c r="H4" s="15"/>
      <c r="I4" s="15" t="s">
        <v>29</v>
      </c>
      <c r="J4" s="16" t="s">
        <v>30</v>
      </c>
      <c r="K4" s="15" t="s">
        <v>31</v>
      </c>
      <c r="L4" s="15" t="s">
        <v>32</v>
      </c>
      <c r="M4" s="15"/>
      <c r="N4" s="15"/>
      <c r="O4" s="17" t="s">
        <v>33</v>
      </c>
      <c r="P4" s="18"/>
      <c r="Q4" s="10" t="s">
        <v>34</v>
      </c>
      <c r="R4" s="19">
        <v>4</v>
      </c>
      <c r="S4" s="20"/>
      <c r="T4" s="20"/>
      <c r="U4" s="19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6.2">
      <c r="A5" s="10">
        <v>2</v>
      </c>
      <c r="B5" s="11" t="s">
        <v>35</v>
      </c>
      <c r="C5" s="10" t="s">
        <v>24</v>
      </c>
      <c r="D5" s="10" t="s">
        <v>25</v>
      </c>
      <c r="E5" s="12" t="s">
        <v>26</v>
      </c>
      <c r="F5" s="13" t="s">
        <v>27</v>
      </c>
      <c r="G5" s="14" t="s">
        <v>36</v>
      </c>
      <c r="H5" s="15"/>
      <c r="I5" s="15" t="s">
        <v>37</v>
      </c>
      <c r="J5" s="16" t="s">
        <v>38</v>
      </c>
      <c r="K5" s="15" t="s">
        <v>39</v>
      </c>
      <c r="L5" s="15" t="s">
        <v>40</v>
      </c>
      <c r="M5" s="15"/>
      <c r="N5" s="15"/>
      <c r="O5" s="17" t="s">
        <v>33</v>
      </c>
      <c r="P5" s="18"/>
      <c r="Q5" s="10" t="s">
        <v>41</v>
      </c>
      <c r="R5" s="19">
        <v>4</v>
      </c>
      <c r="S5" s="20"/>
      <c r="T5" s="20"/>
      <c r="U5" s="19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6.2">
      <c r="A6" s="21">
        <v>3</v>
      </c>
      <c r="B6" s="22" t="s">
        <v>42</v>
      </c>
      <c r="C6" s="21" t="s">
        <v>24</v>
      </c>
      <c r="D6" s="21" t="s">
        <v>25</v>
      </c>
      <c r="E6" s="23" t="s">
        <v>26</v>
      </c>
      <c r="F6" s="24" t="s">
        <v>43</v>
      </c>
      <c r="G6" s="25" t="s">
        <v>36</v>
      </c>
      <c r="H6" s="26" t="s">
        <v>28</v>
      </c>
      <c r="I6" s="26"/>
      <c r="J6" s="27" t="s">
        <v>30</v>
      </c>
      <c r="K6" s="26" t="s">
        <v>44</v>
      </c>
      <c r="L6" s="26" t="s">
        <v>32</v>
      </c>
      <c r="M6" s="26"/>
      <c r="N6" s="26"/>
      <c r="O6" s="28" t="s">
        <v>45</v>
      </c>
      <c r="P6" s="29"/>
      <c r="Q6" s="21" t="s">
        <v>46</v>
      </c>
      <c r="R6" s="30">
        <v>4</v>
      </c>
      <c r="S6" s="31"/>
      <c r="T6" s="31"/>
      <c r="U6" s="30"/>
      <c r="V6" s="3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6.2">
      <c r="A7" s="21">
        <f t="shared" ref="A5:A37" si="0">A6+1</f>
        <v>4</v>
      </c>
      <c r="B7" s="22" t="s">
        <v>47</v>
      </c>
      <c r="C7" s="21" t="s">
        <v>48</v>
      </c>
      <c r="D7" s="21" t="s">
        <v>49</v>
      </c>
      <c r="E7" s="23" t="s">
        <v>50</v>
      </c>
      <c r="F7" s="24" t="s">
        <v>51</v>
      </c>
      <c r="G7" s="25" t="s">
        <v>36</v>
      </c>
      <c r="H7" s="26"/>
      <c r="I7" s="33" t="s">
        <v>29</v>
      </c>
      <c r="J7" s="27" t="s">
        <v>31</v>
      </c>
      <c r="K7" s="26" t="s">
        <v>52</v>
      </c>
      <c r="L7" s="26" t="s">
        <v>53</v>
      </c>
      <c r="M7" s="26"/>
      <c r="N7" s="26"/>
      <c r="O7" s="34">
        <v>46029</v>
      </c>
      <c r="P7" s="29"/>
      <c r="Q7" s="21" t="s">
        <v>54</v>
      </c>
      <c r="R7" s="30">
        <v>5</v>
      </c>
      <c r="S7" s="31"/>
      <c r="T7" s="31"/>
      <c r="U7" s="30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6.2">
      <c r="A8" s="35">
        <f t="shared" si="0"/>
        <v>5</v>
      </c>
      <c r="B8" s="36" t="s">
        <v>55</v>
      </c>
      <c r="C8" s="35" t="s">
        <v>56</v>
      </c>
      <c r="D8" s="35" t="s">
        <v>57</v>
      </c>
      <c r="E8" s="37" t="s">
        <v>58</v>
      </c>
      <c r="F8" s="38" t="s">
        <v>27</v>
      </c>
      <c r="G8" s="39" t="s">
        <v>28</v>
      </c>
      <c r="H8" s="40"/>
      <c r="I8" s="40" t="s">
        <v>59</v>
      </c>
      <c r="J8" s="41" t="s">
        <v>32</v>
      </c>
      <c r="K8" s="40" t="s">
        <v>60</v>
      </c>
      <c r="L8" s="40" t="s">
        <v>61</v>
      </c>
      <c r="M8" s="40"/>
      <c r="N8" s="40"/>
      <c r="O8" s="42" t="s">
        <v>62</v>
      </c>
      <c r="P8" s="43"/>
      <c r="Q8" s="35" t="s">
        <v>63</v>
      </c>
      <c r="R8" s="44">
        <v>5</v>
      </c>
      <c r="S8" s="45"/>
      <c r="T8" s="45"/>
      <c r="U8" s="44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6.2">
      <c r="A9" s="35">
        <f t="shared" si="0"/>
        <v>6</v>
      </c>
      <c r="B9" s="36" t="s">
        <v>64</v>
      </c>
      <c r="C9" s="35" t="s">
        <v>48</v>
      </c>
      <c r="D9" s="35" t="s">
        <v>49</v>
      </c>
      <c r="E9" s="37" t="s">
        <v>65</v>
      </c>
      <c r="F9" s="38" t="s">
        <v>51</v>
      </c>
      <c r="G9" s="39" t="s">
        <v>36</v>
      </c>
      <c r="H9" s="40"/>
      <c r="I9" s="46" t="s">
        <v>29</v>
      </c>
      <c r="J9" s="47" t="s">
        <v>31</v>
      </c>
      <c r="K9" s="40" t="s">
        <v>52</v>
      </c>
      <c r="L9" s="40" t="s">
        <v>53</v>
      </c>
      <c r="M9" s="40"/>
      <c r="N9" s="40"/>
      <c r="O9" s="48">
        <v>46030</v>
      </c>
      <c r="P9" s="43"/>
      <c r="Q9" s="35" t="s">
        <v>66</v>
      </c>
      <c r="R9" s="44">
        <v>5</v>
      </c>
      <c r="S9" s="45"/>
      <c r="T9" s="45"/>
      <c r="U9" s="44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7.399999999999999">
      <c r="A10" s="35">
        <f t="shared" si="0"/>
        <v>7</v>
      </c>
      <c r="B10" s="36" t="s">
        <v>67</v>
      </c>
      <c r="C10" s="35" t="s">
        <v>24</v>
      </c>
      <c r="D10" s="35" t="s">
        <v>68</v>
      </c>
      <c r="E10" s="37" t="s">
        <v>69</v>
      </c>
      <c r="F10" s="38" t="s">
        <v>43</v>
      </c>
      <c r="G10" s="39" t="s">
        <v>36</v>
      </c>
      <c r="H10" s="40"/>
      <c r="I10" s="49" t="s">
        <v>70</v>
      </c>
      <c r="J10" s="50" t="s">
        <v>44</v>
      </c>
      <c r="K10" s="40" t="s">
        <v>71</v>
      </c>
      <c r="L10" s="40" t="s">
        <v>72</v>
      </c>
      <c r="M10" s="40" t="s">
        <v>73</v>
      </c>
      <c r="N10" s="40"/>
      <c r="O10" s="42" t="s">
        <v>62</v>
      </c>
      <c r="P10" s="43"/>
      <c r="Q10" s="35" t="s">
        <v>63</v>
      </c>
      <c r="R10" s="44">
        <v>5</v>
      </c>
      <c r="S10" s="45"/>
      <c r="T10" s="45"/>
      <c r="U10" s="44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6.2">
      <c r="A11" s="35">
        <f t="shared" si="0"/>
        <v>8</v>
      </c>
      <c r="B11" s="36" t="s">
        <v>74</v>
      </c>
      <c r="C11" s="35" t="s">
        <v>24</v>
      </c>
      <c r="D11" s="35" t="s">
        <v>68</v>
      </c>
      <c r="E11" s="37" t="s">
        <v>75</v>
      </c>
      <c r="F11" s="38" t="s">
        <v>43</v>
      </c>
      <c r="G11" s="39" t="s">
        <v>36</v>
      </c>
      <c r="H11" s="40" t="s">
        <v>28</v>
      </c>
      <c r="I11" s="40"/>
      <c r="J11" s="41" t="s">
        <v>30</v>
      </c>
      <c r="K11" s="51" t="s">
        <v>31</v>
      </c>
      <c r="L11" s="51" t="s">
        <v>32</v>
      </c>
      <c r="M11" s="40"/>
      <c r="N11" s="40"/>
      <c r="O11" s="42" t="s">
        <v>62</v>
      </c>
      <c r="P11" s="43"/>
      <c r="Q11" s="35" t="s">
        <v>63</v>
      </c>
      <c r="R11" s="44">
        <v>5</v>
      </c>
      <c r="S11" s="45"/>
      <c r="T11" s="45"/>
      <c r="U11" s="44"/>
      <c r="V11" s="3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6.2">
      <c r="A12" s="52">
        <f t="shared" si="0"/>
        <v>9</v>
      </c>
      <c r="B12" s="53" t="s">
        <v>76</v>
      </c>
      <c r="C12" s="52" t="s">
        <v>56</v>
      </c>
      <c r="D12" s="52" t="s">
        <v>57</v>
      </c>
      <c r="E12" s="54" t="s">
        <v>58</v>
      </c>
      <c r="F12" s="55" t="s">
        <v>77</v>
      </c>
      <c r="G12" s="56" t="s">
        <v>36</v>
      </c>
      <c r="H12" s="57" t="s">
        <v>28</v>
      </c>
      <c r="I12" s="57" t="s">
        <v>78</v>
      </c>
      <c r="J12" s="58" t="s">
        <v>32</v>
      </c>
      <c r="K12" s="57" t="s">
        <v>60</v>
      </c>
      <c r="L12" s="57" t="s">
        <v>61</v>
      </c>
      <c r="M12" s="57" t="s">
        <v>79</v>
      </c>
      <c r="N12" s="57"/>
      <c r="O12" s="59" t="s">
        <v>80</v>
      </c>
      <c r="P12" s="60" t="s">
        <v>81</v>
      </c>
      <c r="Q12" s="52" t="s">
        <v>82</v>
      </c>
      <c r="R12" s="61">
        <v>8</v>
      </c>
      <c r="S12" s="62"/>
      <c r="T12" s="62"/>
      <c r="U12" s="6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6.2">
      <c r="A13" s="52">
        <f t="shared" si="0"/>
        <v>10</v>
      </c>
      <c r="B13" s="53" t="s">
        <v>83</v>
      </c>
      <c r="C13" s="52" t="s">
        <v>48</v>
      </c>
      <c r="D13" s="52" t="s">
        <v>49</v>
      </c>
      <c r="E13" s="54" t="s">
        <v>84</v>
      </c>
      <c r="F13" s="55" t="s">
        <v>51</v>
      </c>
      <c r="G13" s="56" t="s">
        <v>36</v>
      </c>
      <c r="H13" s="57"/>
      <c r="I13" s="57" t="s">
        <v>29</v>
      </c>
      <c r="J13" s="58" t="s">
        <v>31</v>
      </c>
      <c r="K13" s="57" t="s">
        <v>52</v>
      </c>
      <c r="L13" s="57" t="s">
        <v>53</v>
      </c>
      <c r="M13" s="57"/>
      <c r="N13" s="57"/>
      <c r="O13" s="63">
        <v>46031</v>
      </c>
      <c r="P13" s="60"/>
      <c r="Q13" s="52" t="s">
        <v>85</v>
      </c>
      <c r="R13" s="61">
        <v>5</v>
      </c>
      <c r="S13" s="62"/>
      <c r="T13" s="62"/>
      <c r="U13" s="61"/>
      <c r="V13" s="3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6.2">
      <c r="A14" s="52">
        <f t="shared" si="0"/>
        <v>11</v>
      </c>
      <c r="B14" s="53" t="s">
        <v>86</v>
      </c>
      <c r="C14" s="52" t="s">
        <v>24</v>
      </c>
      <c r="D14" s="52" t="s">
        <v>87</v>
      </c>
      <c r="E14" s="54" t="s">
        <v>88</v>
      </c>
      <c r="F14" s="55" t="s">
        <v>27</v>
      </c>
      <c r="G14" s="56" t="s">
        <v>36</v>
      </c>
      <c r="H14" s="64"/>
      <c r="I14" s="57"/>
      <c r="J14" s="58" t="s">
        <v>30</v>
      </c>
      <c r="K14" s="57" t="s">
        <v>44</v>
      </c>
      <c r="L14" s="57" t="s">
        <v>73</v>
      </c>
      <c r="M14" s="57" t="s">
        <v>72</v>
      </c>
      <c r="N14" s="57"/>
      <c r="O14" s="59" t="s">
        <v>80</v>
      </c>
      <c r="P14" s="60"/>
      <c r="Q14" s="52" t="s">
        <v>82</v>
      </c>
      <c r="R14" s="61">
        <v>5</v>
      </c>
      <c r="S14" s="62"/>
      <c r="T14" s="62"/>
      <c r="U14" s="6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6.2">
      <c r="A15" s="52">
        <f t="shared" si="0"/>
        <v>12</v>
      </c>
      <c r="B15" s="53" t="s">
        <v>89</v>
      </c>
      <c r="C15" s="52" t="s">
        <v>24</v>
      </c>
      <c r="D15" s="52" t="s">
        <v>87</v>
      </c>
      <c r="E15" s="54" t="s">
        <v>88</v>
      </c>
      <c r="F15" s="55" t="s">
        <v>90</v>
      </c>
      <c r="G15" s="56" t="s">
        <v>36</v>
      </c>
      <c r="H15" s="57"/>
      <c r="I15" s="57" t="s">
        <v>91</v>
      </c>
      <c r="J15" s="58" t="s">
        <v>44</v>
      </c>
      <c r="K15" s="57" t="s">
        <v>71</v>
      </c>
      <c r="L15" s="57"/>
      <c r="M15" s="57"/>
      <c r="N15" s="57"/>
      <c r="O15" s="59" t="s">
        <v>80</v>
      </c>
      <c r="P15" s="60"/>
      <c r="Q15" s="52" t="s">
        <v>82</v>
      </c>
      <c r="R15" s="61">
        <v>5</v>
      </c>
      <c r="S15" s="62"/>
      <c r="T15" s="62"/>
      <c r="U15" s="6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6.2">
      <c r="A16" s="65">
        <f t="shared" si="0"/>
        <v>13</v>
      </c>
      <c r="B16" s="66" t="s">
        <v>92</v>
      </c>
      <c r="C16" s="65" t="s">
        <v>24</v>
      </c>
      <c r="D16" s="65" t="s">
        <v>25</v>
      </c>
      <c r="E16" s="67" t="s">
        <v>93</v>
      </c>
      <c r="F16" s="68" t="s">
        <v>43</v>
      </c>
      <c r="G16" s="69" t="s">
        <v>36</v>
      </c>
      <c r="H16" s="70" t="s">
        <v>28</v>
      </c>
      <c r="I16" s="51" t="s">
        <v>37</v>
      </c>
      <c r="J16" s="41" t="s">
        <v>30</v>
      </c>
      <c r="K16" s="51" t="s">
        <v>31</v>
      </c>
      <c r="L16" s="51" t="s">
        <v>44</v>
      </c>
      <c r="M16" s="70"/>
      <c r="N16" s="70"/>
      <c r="O16" s="71" t="s">
        <v>94</v>
      </c>
      <c r="P16" s="72"/>
      <c r="Q16" s="65" t="s">
        <v>95</v>
      </c>
      <c r="R16" s="73">
        <v>4</v>
      </c>
      <c r="S16" s="74"/>
      <c r="T16" s="74"/>
      <c r="U16" s="73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6.2">
      <c r="A17" s="65">
        <f t="shared" si="0"/>
        <v>14</v>
      </c>
      <c r="B17" s="66" t="s">
        <v>96</v>
      </c>
      <c r="C17" s="65" t="s">
        <v>56</v>
      </c>
      <c r="D17" s="65" t="s">
        <v>57</v>
      </c>
      <c r="E17" s="67" t="s">
        <v>58</v>
      </c>
      <c r="F17" s="68" t="s">
        <v>51</v>
      </c>
      <c r="G17" s="75" t="s">
        <v>28</v>
      </c>
      <c r="H17" s="76" t="s">
        <v>36</v>
      </c>
      <c r="I17" s="70" t="s">
        <v>78</v>
      </c>
      <c r="J17" s="77" t="s">
        <v>32</v>
      </c>
      <c r="K17" s="70" t="s">
        <v>60</v>
      </c>
      <c r="L17" s="70" t="s">
        <v>61</v>
      </c>
      <c r="M17" s="70" t="s">
        <v>79</v>
      </c>
      <c r="N17" s="70"/>
      <c r="O17" s="71" t="s">
        <v>94</v>
      </c>
      <c r="P17" s="72" t="s">
        <v>97</v>
      </c>
      <c r="Q17" s="65" t="s">
        <v>98</v>
      </c>
      <c r="R17" s="73">
        <v>8</v>
      </c>
      <c r="S17" s="74"/>
      <c r="T17" s="74"/>
      <c r="U17" s="73"/>
      <c r="V17" s="3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6.2">
      <c r="A18" s="65">
        <f t="shared" si="0"/>
        <v>15</v>
      </c>
      <c r="B18" s="66" t="s">
        <v>99</v>
      </c>
      <c r="C18" s="65" t="s">
        <v>48</v>
      </c>
      <c r="D18" s="65" t="s">
        <v>100</v>
      </c>
      <c r="E18" s="67" t="s">
        <v>101</v>
      </c>
      <c r="F18" s="68" t="s">
        <v>51</v>
      </c>
      <c r="G18" s="75" t="s">
        <v>28</v>
      </c>
      <c r="H18" s="76" t="s">
        <v>36</v>
      </c>
      <c r="I18" s="51" t="s">
        <v>29</v>
      </c>
      <c r="J18" s="41" t="s">
        <v>31</v>
      </c>
      <c r="K18" s="51" t="s">
        <v>30</v>
      </c>
      <c r="L18" s="70" t="s">
        <v>52</v>
      </c>
      <c r="M18" s="70" t="s">
        <v>53</v>
      </c>
      <c r="N18" s="70"/>
      <c r="O18" s="78">
        <v>46052</v>
      </c>
      <c r="P18" s="72"/>
      <c r="Q18" s="65" t="s">
        <v>98</v>
      </c>
      <c r="R18" s="73">
        <v>5</v>
      </c>
      <c r="S18" s="74"/>
      <c r="T18" s="74"/>
      <c r="U18" s="73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7.399999999999999">
      <c r="A19" s="65">
        <f t="shared" si="0"/>
        <v>16</v>
      </c>
      <c r="B19" s="66" t="s">
        <v>102</v>
      </c>
      <c r="C19" s="65" t="s">
        <v>24</v>
      </c>
      <c r="D19" s="65" t="s">
        <v>103</v>
      </c>
      <c r="E19" s="67" t="s">
        <v>104</v>
      </c>
      <c r="F19" s="68" t="s">
        <v>43</v>
      </c>
      <c r="G19" s="75" t="s">
        <v>36</v>
      </c>
      <c r="H19" s="76"/>
      <c r="I19" s="79" t="s">
        <v>70</v>
      </c>
      <c r="J19" s="41" t="s">
        <v>44</v>
      </c>
      <c r="K19" s="70" t="s">
        <v>71</v>
      </c>
      <c r="L19" s="70" t="s">
        <v>72</v>
      </c>
      <c r="M19" s="70"/>
      <c r="N19" s="70"/>
      <c r="O19" s="71" t="s">
        <v>94</v>
      </c>
      <c r="P19" s="72"/>
      <c r="Q19" s="65" t="s">
        <v>105</v>
      </c>
      <c r="R19" s="73">
        <v>5</v>
      </c>
      <c r="S19" s="74"/>
      <c r="T19" s="74"/>
      <c r="U19" s="73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7.399999999999999">
      <c r="A20" s="65">
        <f t="shared" si="0"/>
        <v>17</v>
      </c>
      <c r="B20" s="80" t="s">
        <v>106</v>
      </c>
      <c r="C20" s="65" t="s">
        <v>48</v>
      </c>
      <c r="D20" s="65" t="s">
        <v>107</v>
      </c>
      <c r="E20" s="67" t="s">
        <v>108</v>
      </c>
      <c r="F20" s="68" t="s">
        <v>51</v>
      </c>
      <c r="G20" s="75" t="s">
        <v>28</v>
      </c>
      <c r="H20" s="76"/>
      <c r="I20" s="51" t="s">
        <v>37</v>
      </c>
      <c r="J20" s="77" t="s">
        <v>38</v>
      </c>
      <c r="K20" s="70" t="s">
        <v>39</v>
      </c>
      <c r="L20" s="70" t="s">
        <v>40</v>
      </c>
      <c r="M20" s="70" t="s">
        <v>109</v>
      </c>
      <c r="N20" s="70"/>
      <c r="O20" s="71" t="s">
        <v>94</v>
      </c>
      <c r="P20" s="72"/>
      <c r="Q20" s="65" t="s">
        <v>98</v>
      </c>
      <c r="R20" s="73">
        <v>5</v>
      </c>
      <c r="S20" s="74"/>
      <c r="T20" s="74"/>
      <c r="U20" s="73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6.2">
      <c r="A21" s="81">
        <f t="shared" si="0"/>
        <v>18</v>
      </c>
      <c r="B21" s="82" t="s">
        <v>110</v>
      </c>
      <c r="C21" s="81" t="s">
        <v>56</v>
      </c>
      <c r="D21" s="81" t="s">
        <v>57</v>
      </c>
      <c r="E21" s="83" t="s">
        <v>111</v>
      </c>
      <c r="F21" s="84" t="s">
        <v>51</v>
      </c>
      <c r="G21" s="85" t="s">
        <v>36</v>
      </c>
      <c r="H21" s="86"/>
      <c r="I21" s="87" t="s">
        <v>59</v>
      </c>
      <c r="J21" s="88" t="s">
        <v>32</v>
      </c>
      <c r="K21" s="87" t="s">
        <v>60</v>
      </c>
      <c r="L21" s="87" t="s">
        <v>61</v>
      </c>
      <c r="M21" s="87"/>
      <c r="N21" s="87"/>
      <c r="O21" s="89" t="s">
        <v>112</v>
      </c>
      <c r="P21" s="90"/>
      <c r="Q21" s="81" t="s">
        <v>113</v>
      </c>
      <c r="R21" s="91">
        <v>4</v>
      </c>
      <c r="S21" s="92"/>
      <c r="T21" s="92"/>
      <c r="U21" s="9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6.2">
      <c r="A22" s="81">
        <f t="shared" si="0"/>
        <v>19</v>
      </c>
      <c r="B22" s="82" t="s">
        <v>114</v>
      </c>
      <c r="C22" s="81" t="s">
        <v>24</v>
      </c>
      <c r="D22" s="81" t="s">
        <v>87</v>
      </c>
      <c r="E22" s="83" t="s">
        <v>115</v>
      </c>
      <c r="F22" s="84" t="s">
        <v>51</v>
      </c>
      <c r="G22" s="85" t="s">
        <v>36</v>
      </c>
      <c r="H22" s="86"/>
      <c r="I22" s="87" t="s">
        <v>37</v>
      </c>
      <c r="J22" s="88" t="s">
        <v>44</v>
      </c>
      <c r="K22" s="87" t="s">
        <v>71</v>
      </c>
      <c r="L22" s="87" t="s">
        <v>72</v>
      </c>
      <c r="M22" s="87" t="s">
        <v>73</v>
      </c>
      <c r="N22" s="87"/>
      <c r="O22" s="89" t="s">
        <v>112</v>
      </c>
      <c r="P22" s="90"/>
      <c r="Q22" s="81" t="s">
        <v>116</v>
      </c>
      <c r="R22" s="91">
        <v>3</v>
      </c>
      <c r="S22" s="92"/>
      <c r="T22" s="92"/>
      <c r="U22" s="9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6.2">
      <c r="A23" s="93">
        <f t="shared" si="0"/>
        <v>20</v>
      </c>
      <c r="B23" s="94" t="s">
        <v>117</v>
      </c>
      <c r="C23" s="93" t="s">
        <v>118</v>
      </c>
      <c r="D23" s="93" t="s">
        <v>118</v>
      </c>
      <c r="E23" s="95" t="s">
        <v>119</v>
      </c>
      <c r="F23" s="96" t="s">
        <v>27</v>
      </c>
      <c r="G23" s="97" t="s">
        <v>28</v>
      </c>
      <c r="H23" s="98"/>
      <c r="I23" s="99" t="s">
        <v>59</v>
      </c>
      <c r="J23" s="100" t="s">
        <v>32</v>
      </c>
      <c r="K23" s="99" t="s">
        <v>60</v>
      </c>
      <c r="L23" s="99" t="s">
        <v>61</v>
      </c>
      <c r="M23" s="99"/>
      <c r="N23" s="99"/>
      <c r="O23" s="101" t="s">
        <v>120</v>
      </c>
      <c r="P23" s="102"/>
      <c r="Q23" s="93" t="s">
        <v>121</v>
      </c>
      <c r="R23" s="103">
        <v>5</v>
      </c>
      <c r="S23" s="104"/>
      <c r="T23" s="104"/>
      <c r="U23" s="103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7.399999999999999">
      <c r="A24" s="93">
        <f t="shared" si="0"/>
        <v>21</v>
      </c>
      <c r="B24" s="105" t="s">
        <v>122</v>
      </c>
      <c r="C24" s="93" t="s">
        <v>24</v>
      </c>
      <c r="D24" s="93" t="s">
        <v>103</v>
      </c>
      <c r="E24" s="95" t="s">
        <v>123</v>
      </c>
      <c r="F24" s="96" t="s">
        <v>51</v>
      </c>
      <c r="G24" s="97" t="s">
        <v>36</v>
      </c>
      <c r="H24" s="98" t="s">
        <v>28</v>
      </c>
      <c r="I24" s="106" t="s">
        <v>37</v>
      </c>
      <c r="J24" s="100" t="s">
        <v>44</v>
      </c>
      <c r="K24" s="99" t="s">
        <v>71</v>
      </c>
      <c r="L24" s="99" t="s">
        <v>72</v>
      </c>
      <c r="M24" s="99" t="s">
        <v>73</v>
      </c>
      <c r="N24" s="99"/>
      <c r="O24" s="107">
        <v>45985</v>
      </c>
      <c r="P24" s="102" t="s">
        <v>124</v>
      </c>
      <c r="Q24" s="93" t="s">
        <v>121</v>
      </c>
      <c r="R24" s="103">
        <v>9</v>
      </c>
      <c r="S24" s="104"/>
      <c r="T24" s="104"/>
      <c r="U24" s="103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7.399999999999999">
      <c r="A25" s="93">
        <f t="shared" si="0"/>
        <v>22</v>
      </c>
      <c r="B25" s="94" t="s">
        <v>125</v>
      </c>
      <c r="C25" s="93" t="s">
        <v>24</v>
      </c>
      <c r="D25" s="93" t="s">
        <v>126</v>
      </c>
      <c r="E25" s="95" t="s">
        <v>127</v>
      </c>
      <c r="F25" s="96" t="s">
        <v>51</v>
      </c>
      <c r="G25" s="97" t="s">
        <v>36</v>
      </c>
      <c r="H25" s="98" t="s">
        <v>28</v>
      </c>
      <c r="I25" s="99" t="s">
        <v>128</v>
      </c>
      <c r="J25" s="41" t="s">
        <v>31</v>
      </c>
      <c r="K25" s="106" t="s">
        <v>70</v>
      </c>
      <c r="L25" s="99" t="s">
        <v>129</v>
      </c>
      <c r="M25" s="99" t="s">
        <v>52</v>
      </c>
      <c r="N25" s="99"/>
      <c r="O25" s="108">
        <v>46071</v>
      </c>
      <c r="P25" s="102"/>
      <c r="Q25" s="93" t="s">
        <v>121</v>
      </c>
      <c r="R25" s="103">
        <v>5</v>
      </c>
      <c r="S25" s="104"/>
      <c r="T25" s="104"/>
      <c r="U25" s="103"/>
      <c r="V25" s="3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7.399999999999999">
      <c r="A26" s="93">
        <f t="shared" si="0"/>
        <v>23</v>
      </c>
      <c r="B26" s="94" t="s">
        <v>130</v>
      </c>
      <c r="C26" s="93" t="s">
        <v>131</v>
      </c>
      <c r="D26" s="93" t="s">
        <v>132</v>
      </c>
      <c r="E26" s="95" t="s">
        <v>133</v>
      </c>
      <c r="F26" s="96" t="s">
        <v>27</v>
      </c>
      <c r="G26" s="97" t="s">
        <v>28</v>
      </c>
      <c r="H26" s="109"/>
      <c r="I26" s="106" t="s">
        <v>78</v>
      </c>
      <c r="J26" s="100" t="s">
        <v>38</v>
      </c>
      <c r="K26" s="99" t="s">
        <v>39</v>
      </c>
      <c r="L26" s="99" t="s">
        <v>40</v>
      </c>
      <c r="M26" s="99" t="s">
        <v>109</v>
      </c>
      <c r="N26" s="99"/>
      <c r="O26" s="101" t="s">
        <v>134</v>
      </c>
      <c r="P26" s="102"/>
      <c r="Q26" s="93" t="s">
        <v>135</v>
      </c>
      <c r="R26" s="103">
        <v>5</v>
      </c>
      <c r="S26" s="104"/>
      <c r="T26" s="104"/>
      <c r="U26" s="103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7.399999999999999">
      <c r="A27" s="93">
        <f t="shared" si="0"/>
        <v>24</v>
      </c>
      <c r="B27" s="94" t="s">
        <v>136</v>
      </c>
      <c r="C27" s="93" t="s">
        <v>24</v>
      </c>
      <c r="D27" s="93" t="s">
        <v>68</v>
      </c>
      <c r="E27" s="95" t="s">
        <v>137</v>
      </c>
      <c r="F27" s="96" t="s">
        <v>138</v>
      </c>
      <c r="G27" s="97" t="s">
        <v>36</v>
      </c>
      <c r="H27" s="98" t="s">
        <v>28</v>
      </c>
      <c r="I27" s="99" t="s">
        <v>139</v>
      </c>
      <c r="J27" s="110" t="s">
        <v>30</v>
      </c>
      <c r="K27" s="99" t="s">
        <v>29</v>
      </c>
      <c r="L27" s="51" t="s">
        <v>31</v>
      </c>
      <c r="M27" s="99"/>
      <c r="N27" s="99"/>
      <c r="O27" s="101" t="s">
        <v>134</v>
      </c>
      <c r="P27" s="102"/>
      <c r="Q27" s="93" t="s">
        <v>121</v>
      </c>
      <c r="R27" s="103">
        <v>5</v>
      </c>
      <c r="S27" s="104"/>
      <c r="T27" s="104"/>
      <c r="U27" s="103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6.2">
      <c r="A28" s="111">
        <f t="shared" si="0"/>
        <v>25</v>
      </c>
      <c r="B28" s="112" t="s">
        <v>140</v>
      </c>
      <c r="C28" s="111" t="s">
        <v>131</v>
      </c>
      <c r="D28" s="111" t="s">
        <v>141</v>
      </c>
      <c r="E28" s="113" t="s">
        <v>142</v>
      </c>
      <c r="F28" s="114" t="s">
        <v>27</v>
      </c>
      <c r="G28" s="115" t="s">
        <v>36</v>
      </c>
      <c r="H28" s="116" t="s">
        <v>28</v>
      </c>
      <c r="I28" s="117" t="s">
        <v>59</v>
      </c>
      <c r="J28" s="118" t="s">
        <v>32</v>
      </c>
      <c r="K28" s="117" t="s">
        <v>60</v>
      </c>
      <c r="L28" s="117" t="s">
        <v>61</v>
      </c>
      <c r="M28" s="117"/>
      <c r="N28" s="117"/>
      <c r="O28" s="119" t="s">
        <v>143</v>
      </c>
      <c r="P28" s="120"/>
      <c r="Q28" s="111" t="s">
        <v>144</v>
      </c>
      <c r="R28" s="121">
        <v>5</v>
      </c>
      <c r="S28" s="122"/>
      <c r="T28" s="122"/>
      <c r="U28" s="12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6.2">
      <c r="A29" s="111">
        <f t="shared" si="0"/>
        <v>26</v>
      </c>
      <c r="B29" s="123" t="s">
        <v>145</v>
      </c>
      <c r="C29" s="124" t="s">
        <v>48</v>
      </c>
      <c r="D29" s="124" t="s">
        <v>146</v>
      </c>
      <c r="E29" s="125" t="s">
        <v>147</v>
      </c>
      <c r="F29" s="123" t="s">
        <v>51</v>
      </c>
      <c r="G29" s="115" t="s">
        <v>28</v>
      </c>
      <c r="H29" s="116" t="s">
        <v>37</v>
      </c>
      <c r="I29" s="51" t="s">
        <v>30</v>
      </c>
      <c r="J29" s="118" t="s">
        <v>31</v>
      </c>
      <c r="K29" s="117" t="s">
        <v>52</v>
      </c>
      <c r="L29" s="117" t="s">
        <v>148</v>
      </c>
      <c r="M29" s="126"/>
      <c r="N29" s="126"/>
      <c r="O29" s="127">
        <v>46072</v>
      </c>
      <c r="P29" s="128"/>
      <c r="Q29" s="111" t="s">
        <v>144</v>
      </c>
      <c r="R29" s="129">
        <v>5</v>
      </c>
      <c r="S29" s="130"/>
      <c r="T29" s="130"/>
      <c r="U29" s="130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</row>
    <row r="30" spans="1:47" ht="16.2">
      <c r="A30" s="111">
        <f t="shared" si="0"/>
        <v>27</v>
      </c>
      <c r="B30" s="112" t="s">
        <v>149</v>
      </c>
      <c r="C30" s="111" t="s">
        <v>24</v>
      </c>
      <c r="D30" s="111" t="s">
        <v>103</v>
      </c>
      <c r="E30" s="113" t="s">
        <v>150</v>
      </c>
      <c r="F30" s="114" t="s">
        <v>43</v>
      </c>
      <c r="G30" s="115" t="s">
        <v>36</v>
      </c>
      <c r="H30" s="116" t="s">
        <v>28</v>
      </c>
      <c r="I30" s="117"/>
      <c r="J30" s="118" t="s">
        <v>44</v>
      </c>
      <c r="K30" s="117" t="s">
        <v>71</v>
      </c>
      <c r="L30" s="117" t="s">
        <v>72</v>
      </c>
      <c r="M30" s="117" t="s">
        <v>73</v>
      </c>
      <c r="N30" s="117"/>
      <c r="O30" s="119" t="s">
        <v>143</v>
      </c>
      <c r="P30" s="120"/>
      <c r="Q30" s="111" t="s">
        <v>144</v>
      </c>
      <c r="R30" s="121">
        <v>5</v>
      </c>
      <c r="S30" s="122"/>
      <c r="T30" s="122"/>
      <c r="U30" s="12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7.399999999999999">
      <c r="A31" s="111">
        <f t="shared" si="0"/>
        <v>28</v>
      </c>
      <c r="B31" s="112" t="s">
        <v>151</v>
      </c>
      <c r="C31" s="111" t="s">
        <v>24</v>
      </c>
      <c r="D31" s="111" t="s">
        <v>152</v>
      </c>
      <c r="E31" s="113" t="s">
        <v>153</v>
      </c>
      <c r="F31" s="114" t="s">
        <v>51</v>
      </c>
      <c r="G31" s="115" t="s">
        <v>36</v>
      </c>
      <c r="H31" s="116" t="s">
        <v>28</v>
      </c>
      <c r="I31" s="117"/>
      <c r="J31" s="118" t="s">
        <v>38</v>
      </c>
      <c r="K31" s="117" t="s">
        <v>39</v>
      </c>
      <c r="L31" s="117" t="s">
        <v>40</v>
      </c>
      <c r="M31" s="132" t="s">
        <v>109</v>
      </c>
      <c r="N31" s="117"/>
      <c r="O31" s="119" t="s">
        <v>143</v>
      </c>
      <c r="P31" s="120"/>
      <c r="Q31" s="111" t="s">
        <v>154</v>
      </c>
      <c r="R31" s="121">
        <v>5</v>
      </c>
      <c r="S31" s="122"/>
      <c r="T31" s="122"/>
      <c r="U31" s="122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6.2">
      <c r="A32" s="111">
        <f t="shared" si="0"/>
        <v>29</v>
      </c>
      <c r="B32" s="112" t="s">
        <v>155</v>
      </c>
      <c r="C32" s="111" t="s">
        <v>24</v>
      </c>
      <c r="D32" s="111" t="s">
        <v>103</v>
      </c>
      <c r="E32" s="113" t="s">
        <v>150</v>
      </c>
      <c r="F32" s="114" t="s">
        <v>43</v>
      </c>
      <c r="G32" s="115" t="s">
        <v>36</v>
      </c>
      <c r="H32" s="116"/>
      <c r="I32" s="117" t="s">
        <v>29</v>
      </c>
      <c r="J32" s="41" t="s">
        <v>30</v>
      </c>
      <c r="K32" s="117" t="s">
        <v>44</v>
      </c>
      <c r="L32" s="117" t="s">
        <v>71</v>
      </c>
      <c r="M32" s="117"/>
      <c r="N32" s="117"/>
      <c r="O32" s="119" t="s">
        <v>143</v>
      </c>
      <c r="P32" s="120"/>
      <c r="Q32" s="111" t="s">
        <v>144</v>
      </c>
      <c r="R32" s="121">
        <v>5</v>
      </c>
      <c r="S32" s="122"/>
      <c r="T32" s="122"/>
      <c r="U32" s="12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6.2">
      <c r="A33" s="133">
        <f t="shared" si="0"/>
        <v>30</v>
      </c>
      <c r="B33" s="134" t="s">
        <v>156</v>
      </c>
      <c r="C33" s="133" t="s">
        <v>24</v>
      </c>
      <c r="D33" s="133" t="s">
        <v>152</v>
      </c>
      <c r="E33" s="135" t="s">
        <v>157</v>
      </c>
      <c r="F33" s="136" t="s">
        <v>51</v>
      </c>
      <c r="G33" s="137" t="s">
        <v>28</v>
      </c>
      <c r="H33" s="138"/>
      <c r="I33" s="138" t="s">
        <v>29</v>
      </c>
      <c r="J33" s="139" t="s">
        <v>32</v>
      </c>
      <c r="K33" s="138" t="s">
        <v>60</v>
      </c>
      <c r="L33" s="138" t="s">
        <v>61</v>
      </c>
      <c r="M33" s="138"/>
      <c r="N33" s="138"/>
      <c r="O33" s="140" t="s">
        <v>158</v>
      </c>
      <c r="P33" s="141"/>
      <c r="Q33" s="133" t="s">
        <v>159</v>
      </c>
      <c r="R33" s="142">
        <v>5</v>
      </c>
      <c r="S33" s="143"/>
      <c r="T33" s="143"/>
      <c r="U33" s="142"/>
      <c r="V33" s="3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6.2">
      <c r="A34" s="133">
        <f t="shared" si="0"/>
        <v>31</v>
      </c>
      <c r="B34" s="134" t="s">
        <v>160</v>
      </c>
      <c r="C34" s="133" t="s">
        <v>48</v>
      </c>
      <c r="D34" s="133" t="s">
        <v>161</v>
      </c>
      <c r="E34" s="135" t="s">
        <v>162</v>
      </c>
      <c r="F34" s="136" t="s">
        <v>27</v>
      </c>
      <c r="G34" s="137" t="s">
        <v>28</v>
      </c>
      <c r="H34" s="144"/>
      <c r="I34" s="138" t="s">
        <v>37</v>
      </c>
      <c r="J34" s="139" t="s">
        <v>31</v>
      </c>
      <c r="K34" s="138" t="s">
        <v>52</v>
      </c>
      <c r="L34" s="138" t="s">
        <v>148</v>
      </c>
      <c r="M34" s="138"/>
      <c r="N34" s="138"/>
      <c r="O34" s="145">
        <v>46072</v>
      </c>
      <c r="P34" s="141"/>
      <c r="Q34" s="133" t="s">
        <v>159</v>
      </c>
      <c r="R34" s="142">
        <v>5</v>
      </c>
      <c r="S34" s="143"/>
      <c r="T34" s="143"/>
      <c r="U34" s="142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6.2">
      <c r="A35" s="133">
        <f t="shared" si="0"/>
        <v>32</v>
      </c>
      <c r="B35" s="134" t="s">
        <v>163</v>
      </c>
      <c r="C35" s="133" t="s">
        <v>164</v>
      </c>
      <c r="D35" s="133" t="s">
        <v>165</v>
      </c>
      <c r="E35" s="135" t="s">
        <v>166</v>
      </c>
      <c r="F35" s="136" t="s">
        <v>51</v>
      </c>
      <c r="G35" s="137" t="s">
        <v>36</v>
      </c>
      <c r="H35" s="138" t="s">
        <v>28</v>
      </c>
      <c r="I35" s="138" t="s">
        <v>78</v>
      </c>
      <c r="J35" s="139" t="s">
        <v>44</v>
      </c>
      <c r="K35" s="138" t="s">
        <v>71</v>
      </c>
      <c r="L35" s="138" t="s">
        <v>72</v>
      </c>
      <c r="M35" s="138"/>
      <c r="N35" s="138"/>
      <c r="O35" s="140" t="s">
        <v>158</v>
      </c>
      <c r="P35" s="141"/>
      <c r="Q35" s="133" t="s">
        <v>159</v>
      </c>
      <c r="R35" s="142">
        <v>5</v>
      </c>
      <c r="S35" s="143"/>
      <c r="T35" s="143"/>
      <c r="U35" s="142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6.2">
      <c r="A36" s="133">
        <f t="shared" si="0"/>
        <v>33</v>
      </c>
      <c r="B36" s="134" t="s">
        <v>167</v>
      </c>
      <c r="C36" s="133" t="s">
        <v>24</v>
      </c>
      <c r="D36" s="133" t="s">
        <v>87</v>
      </c>
      <c r="E36" s="135" t="s">
        <v>115</v>
      </c>
      <c r="F36" s="136" t="s">
        <v>27</v>
      </c>
      <c r="G36" s="137" t="s">
        <v>28</v>
      </c>
      <c r="H36" s="138" t="s">
        <v>78</v>
      </c>
      <c r="I36" s="138"/>
      <c r="J36" s="139" t="s">
        <v>38</v>
      </c>
      <c r="K36" s="138" t="s">
        <v>39</v>
      </c>
      <c r="L36" s="138" t="s">
        <v>40</v>
      </c>
      <c r="M36" s="138" t="s">
        <v>109</v>
      </c>
      <c r="N36" s="138"/>
      <c r="O36" s="140" t="s">
        <v>158</v>
      </c>
      <c r="P36" s="141"/>
      <c r="Q36" s="133" t="s">
        <v>168</v>
      </c>
      <c r="R36" s="142">
        <v>5</v>
      </c>
      <c r="S36" s="143"/>
      <c r="T36" s="143"/>
      <c r="U36" s="142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6.2">
      <c r="A37" s="146">
        <f>A36+1</f>
        <v>34</v>
      </c>
      <c r="B37" s="147" t="s">
        <v>169</v>
      </c>
      <c r="C37" s="146" t="s">
        <v>24</v>
      </c>
      <c r="D37" s="146" t="s">
        <v>25</v>
      </c>
      <c r="E37" s="148" t="s">
        <v>170</v>
      </c>
      <c r="F37" s="149" t="s">
        <v>51</v>
      </c>
      <c r="G37" s="150" t="s">
        <v>36</v>
      </c>
      <c r="H37" s="151"/>
      <c r="I37" s="151" t="s">
        <v>37</v>
      </c>
      <c r="J37" s="152" t="s">
        <v>30</v>
      </c>
      <c r="K37" s="151" t="s">
        <v>38</v>
      </c>
      <c r="L37" s="151" t="s">
        <v>39</v>
      </c>
      <c r="M37" s="151" t="s">
        <v>53</v>
      </c>
      <c r="N37" s="151"/>
      <c r="O37" s="153" t="s">
        <v>171</v>
      </c>
      <c r="P37" s="154"/>
      <c r="Q37" s="146" t="s">
        <v>172</v>
      </c>
      <c r="R37" s="155">
        <v>4</v>
      </c>
      <c r="S37" s="156"/>
      <c r="T37" s="156"/>
      <c r="U37" s="155"/>
      <c r="V37" s="3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9" spans="1:47" ht="16.2">
      <c r="A39" s="2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4"/>
      <c r="S39" s="3"/>
      <c r="T39" s="3"/>
      <c r="U39" s="4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6.2">
      <c r="A40" s="2"/>
      <c r="B40" s="8" t="s">
        <v>173</v>
      </c>
      <c r="C40" s="1"/>
      <c r="D40" s="1"/>
      <c r="E40" s="1"/>
      <c r="F40" s="8" t="s">
        <v>174</v>
      </c>
      <c r="G40" s="8" t="s">
        <v>15</v>
      </c>
      <c r="H40" s="8" t="s">
        <v>16</v>
      </c>
      <c r="I40" s="8" t="s">
        <v>17</v>
      </c>
      <c r="J40" s="8" t="s">
        <v>18</v>
      </c>
      <c r="K40" s="8" t="s">
        <v>175</v>
      </c>
      <c r="L40" s="8" t="s">
        <v>175</v>
      </c>
      <c r="M40" s="8" t="s">
        <v>175</v>
      </c>
      <c r="N40" s="8" t="s">
        <v>175</v>
      </c>
      <c r="O40" s="8" t="s">
        <v>176</v>
      </c>
      <c r="P40" s="2"/>
      <c r="Q40" s="2"/>
      <c r="R40" s="4"/>
      <c r="S40" s="3"/>
      <c r="T40" s="3"/>
      <c r="U40" s="4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6.2">
      <c r="A41" s="2"/>
      <c r="B41" s="157" t="s">
        <v>177</v>
      </c>
      <c r="C41" s="1"/>
      <c r="D41" s="1"/>
      <c r="E41" s="1"/>
      <c r="F41" s="158" t="s">
        <v>36</v>
      </c>
      <c r="G41" s="158">
        <f t="shared" ref="G41:G68" si="1">COUNTIF(G$4:G$37,F41)</f>
        <v>23</v>
      </c>
      <c r="H41" s="158">
        <f t="shared" ref="H41:H68" si="2">COUNTIF(H$4:H$37,F41)</f>
        <v>2</v>
      </c>
      <c r="I41" s="158">
        <f t="shared" ref="I41:I68" si="3">COUNTIF(I$4:I$37,F41)</f>
        <v>0</v>
      </c>
      <c r="J41" s="158">
        <f t="shared" ref="J41:J68" si="4">COUNTIF(J$4:J$37,F41)</f>
        <v>0</v>
      </c>
      <c r="K41" s="158">
        <f t="shared" ref="K41:K68" si="5">COUNTIF(K$4:K$37,F41)</f>
        <v>0</v>
      </c>
      <c r="L41" s="158">
        <f t="shared" ref="L41:L68" si="6">COUNTIF(L$4:L$37,F41)</f>
        <v>0</v>
      </c>
      <c r="M41" s="158">
        <f t="shared" ref="M41:M68" si="7">COUNTIF(M$4:M$37,F41)</f>
        <v>0</v>
      </c>
      <c r="N41" s="158">
        <f t="shared" ref="N41:N68" si="8">COUNTIF(N$4:N$37,F41)</f>
        <v>0</v>
      </c>
      <c r="O41" s="159">
        <f t="shared" ref="O41:O68" si="9">SUM(G41:N41)</f>
        <v>25</v>
      </c>
      <c r="P41" s="2"/>
      <c r="Q41" s="2"/>
      <c r="R41" s="4"/>
      <c r="S41" s="3"/>
      <c r="T41" s="3"/>
      <c r="U41" s="4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6.2">
      <c r="A42" s="2"/>
      <c r="B42" s="157" t="s">
        <v>178</v>
      </c>
      <c r="C42" s="1"/>
      <c r="D42" s="1"/>
      <c r="E42" s="1"/>
      <c r="F42" s="158" t="s">
        <v>28</v>
      </c>
      <c r="G42" s="158">
        <f t="shared" si="1"/>
        <v>11</v>
      </c>
      <c r="H42" s="158">
        <f t="shared" si="2"/>
        <v>11</v>
      </c>
      <c r="I42" s="158">
        <f t="shared" si="3"/>
        <v>0</v>
      </c>
      <c r="J42" s="158">
        <f t="shared" si="4"/>
        <v>0</v>
      </c>
      <c r="K42" s="158">
        <f t="shared" si="5"/>
        <v>0</v>
      </c>
      <c r="L42" s="158">
        <f t="shared" si="6"/>
        <v>0</v>
      </c>
      <c r="M42" s="158">
        <f t="shared" si="7"/>
        <v>0</v>
      </c>
      <c r="N42" s="158">
        <f t="shared" si="8"/>
        <v>0</v>
      </c>
      <c r="O42" s="159">
        <f t="shared" si="9"/>
        <v>22</v>
      </c>
      <c r="P42" s="2"/>
      <c r="Q42" s="2"/>
      <c r="R42" s="4"/>
      <c r="S42" s="3"/>
      <c r="T42" s="3"/>
      <c r="U42" s="4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6.2">
      <c r="A43" s="2"/>
      <c r="B43" s="157" t="s">
        <v>179</v>
      </c>
      <c r="C43" s="158"/>
      <c r="D43" s="158"/>
      <c r="E43" s="158"/>
      <c r="F43" s="158" t="s">
        <v>128</v>
      </c>
      <c r="G43" s="158">
        <f t="shared" si="1"/>
        <v>0</v>
      </c>
      <c r="H43" s="158">
        <f t="shared" si="2"/>
        <v>0</v>
      </c>
      <c r="I43" s="158">
        <f t="shared" si="3"/>
        <v>1</v>
      </c>
      <c r="J43" s="158">
        <f t="shared" si="4"/>
        <v>0</v>
      </c>
      <c r="K43" s="158">
        <f t="shared" si="5"/>
        <v>0</v>
      </c>
      <c r="L43" s="158">
        <f t="shared" si="6"/>
        <v>0</v>
      </c>
      <c r="M43" s="158">
        <f t="shared" si="7"/>
        <v>0</v>
      </c>
      <c r="N43" s="158">
        <f t="shared" si="8"/>
        <v>0</v>
      </c>
      <c r="O43" s="159">
        <f t="shared" si="9"/>
        <v>1</v>
      </c>
      <c r="P43" s="2"/>
      <c r="Q43" s="2"/>
      <c r="R43" s="4"/>
      <c r="S43" s="3"/>
      <c r="T43" s="3"/>
      <c r="U43" s="4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6.2">
      <c r="A44" s="2"/>
      <c r="B44" s="157" t="s">
        <v>180</v>
      </c>
      <c r="C44" s="1"/>
      <c r="D44" s="1"/>
      <c r="E44" s="1"/>
      <c r="F44" s="158" t="s">
        <v>78</v>
      </c>
      <c r="G44" s="158">
        <f t="shared" si="1"/>
        <v>0</v>
      </c>
      <c r="H44" s="158">
        <f t="shared" si="2"/>
        <v>1</v>
      </c>
      <c r="I44" s="158">
        <f t="shared" si="3"/>
        <v>4</v>
      </c>
      <c r="J44" s="158">
        <f t="shared" si="4"/>
        <v>0</v>
      </c>
      <c r="K44" s="158">
        <f t="shared" si="5"/>
        <v>0</v>
      </c>
      <c r="L44" s="158">
        <f t="shared" si="6"/>
        <v>0</v>
      </c>
      <c r="M44" s="158">
        <f t="shared" si="7"/>
        <v>0</v>
      </c>
      <c r="N44" s="158">
        <f t="shared" si="8"/>
        <v>0</v>
      </c>
      <c r="O44" s="159">
        <f t="shared" si="9"/>
        <v>5</v>
      </c>
      <c r="P44" s="2"/>
      <c r="Q44" s="2"/>
      <c r="R44" s="4"/>
      <c r="S44" s="3"/>
      <c r="T44" s="3"/>
      <c r="U44" s="4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6.2">
      <c r="A45" s="2"/>
      <c r="B45" s="157" t="s">
        <v>181</v>
      </c>
      <c r="C45" s="1"/>
      <c r="D45" s="1"/>
      <c r="E45" s="1"/>
      <c r="F45" s="158" t="s">
        <v>37</v>
      </c>
      <c r="G45" s="158">
        <f t="shared" si="1"/>
        <v>0</v>
      </c>
      <c r="H45" s="158">
        <f t="shared" si="2"/>
        <v>1</v>
      </c>
      <c r="I45" s="158">
        <f t="shared" si="3"/>
        <v>7</v>
      </c>
      <c r="J45" s="158">
        <f t="shared" si="4"/>
        <v>0</v>
      </c>
      <c r="K45" s="158">
        <f t="shared" si="5"/>
        <v>0</v>
      </c>
      <c r="L45" s="158">
        <f t="shared" si="6"/>
        <v>0</v>
      </c>
      <c r="M45" s="158">
        <f t="shared" si="7"/>
        <v>0</v>
      </c>
      <c r="N45" s="158">
        <f t="shared" si="8"/>
        <v>0</v>
      </c>
      <c r="O45" s="159">
        <f t="shared" si="9"/>
        <v>8</v>
      </c>
      <c r="P45" s="2"/>
      <c r="Q45" s="2"/>
      <c r="R45" s="4"/>
      <c r="S45" s="3"/>
      <c r="T45" s="3"/>
      <c r="U45" s="4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6.2">
      <c r="A46" s="2"/>
      <c r="B46" s="157" t="s">
        <v>182</v>
      </c>
      <c r="C46" s="1"/>
      <c r="D46" s="1"/>
      <c r="E46" s="1"/>
      <c r="F46" s="158" t="s">
        <v>29</v>
      </c>
      <c r="G46" s="158">
        <f t="shared" si="1"/>
        <v>0</v>
      </c>
      <c r="H46" s="158">
        <f t="shared" si="2"/>
        <v>0</v>
      </c>
      <c r="I46" s="158">
        <f t="shared" si="3"/>
        <v>7</v>
      </c>
      <c r="J46" s="158">
        <f t="shared" si="4"/>
        <v>0</v>
      </c>
      <c r="K46" s="158">
        <f t="shared" si="5"/>
        <v>1</v>
      </c>
      <c r="L46" s="158">
        <f t="shared" si="6"/>
        <v>0</v>
      </c>
      <c r="M46" s="158">
        <f t="shared" si="7"/>
        <v>0</v>
      </c>
      <c r="N46" s="158">
        <f t="shared" si="8"/>
        <v>0</v>
      </c>
      <c r="O46" s="159">
        <f t="shared" si="9"/>
        <v>8</v>
      </c>
      <c r="P46" s="2"/>
      <c r="Q46" s="2"/>
      <c r="R46" s="4"/>
      <c r="S46" s="3"/>
      <c r="T46" s="3"/>
      <c r="U46" s="4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6.2">
      <c r="A47" s="2"/>
      <c r="B47" s="157" t="s">
        <v>183</v>
      </c>
      <c r="C47" s="1"/>
      <c r="D47" s="1"/>
      <c r="E47" s="1"/>
      <c r="F47" s="158" t="s">
        <v>59</v>
      </c>
      <c r="G47" s="158">
        <f t="shared" si="1"/>
        <v>0</v>
      </c>
      <c r="H47" s="158">
        <f t="shared" si="2"/>
        <v>0</v>
      </c>
      <c r="I47" s="158">
        <f t="shared" si="3"/>
        <v>4</v>
      </c>
      <c r="J47" s="158">
        <f t="shared" si="4"/>
        <v>0</v>
      </c>
      <c r="K47" s="158">
        <f t="shared" si="5"/>
        <v>0</v>
      </c>
      <c r="L47" s="158">
        <f t="shared" si="6"/>
        <v>0</v>
      </c>
      <c r="M47" s="158">
        <f t="shared" si="7"/>
        <v>0</v>
      </c>
      <c r="N47" s="158">
        <f t="shared" si="8"/>
        <v>0</v>
      </c>
      <c r="O47" s="159">
        <f t="shared" si="9"/>
        <v>4</v>
      </c>
      <c r="P47" s="2"/>
      <c r="Q47" s="2"/>
      <c r="R47" s="4"/>
      <c r="S47" s="3"/>
      <c r="T47" s="3"/>
      <c r="U47" s="4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6.2">
      <c r="A48" s="2"/>
      <c r="B48" s="157" t="s">
        <v>184</v>
      </c>
      <c r="C48" s="1"/>
      <c r="D48" s="1"/>
      <c r="E48" s="1"/>
      <c r="F48" s="158" t="s">
        <v>139</v>
      </c>
      <c r="G48" s="158">
        <f t="shared" si="1"/>
        <v>0</v>
      </c>
      <c r="H48" s="158">
        <f t="shared" si="2"/>
        <v>0</v>
      </c>
      <c r="I48" s="158">
        <f t="shared" si="3"/>
        <v>1</v>
      </c>
      <c r="J48" s="158">
        <f t="shared" si="4"/>
        <v>0</v>
      </c>
      <c r="K48" s="158">
        <f t="shared" si="5"/>
        <v>0</v>
      </c>
      <c r="L48" s="158">
        <f t="shared" si="6"/>
        <v>0</v>
      </c>
      <c r="M48" s="158">
        <f t="shared" si="7"/>
        <v>0</v>
      </c>
      <c r="N48" s="158">
        <f t="shared" si="8"/>
        <v>0</v>
      </c>
      <c r="O48" s="159">
        <f t="shared" si="9"/>
        <v>1</v>
      </c>
      <c r="P48" s="2"/>
      <c r="Q48" s="2"/>
      <c r="R48" s="4"/>
      <c r="S48" s="3"/>
      <c r="T48" s="3"/>
      <c r="U48" s="4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7.399999999999999">
      <c r="A49" s="2"/>
      <c r="B49" s="160" t="s">
        <v>185</v>
      </c>
      <c r="C49" s="1"/>
      <c r="D49" s="1"/>
      <c r="E49" s="1"/>
      <c r="F49" s="161" t="s">
        <v>70</v>
      </c>
      <c r="G49" s="158">
        <f t="shared" si="1"/>
        <v>0</v>
      </c>
      <c r="H49" s="158">
        <f t="shared" si="2"/>
        <v>0</v>
      </c>
      <c r="I49" s="158">
        <f t="shared" si="3"/>
        <v>2</v>
      </c>
      <c r="J49" s="158">
        <f t="shared" si="4"/>
        <v>0</v>
      </c>
      <c r="K49" s="158">
        <f t="shared" si="5"/>
        <v>1</v>
      </c>
      <c r="L49" s="158">
        <f t="shared" si="6"/>
        <v>0</v>
      </c>
      <c r="M49" s="158">
        <f t="shared" si="7"/>
        <v>0</v>
      </c>
      <c r="N49" s="158">
        <f t="shared" si="8"/>
        <v>0</v>
      </c>
      <c r="O49" s="159">
        <f t="shared" si="9"/>
        <v>3</v>
      </c>
      <c r="P49" s="2"/>
      <c r="Q49" s="2"/>
      <c r="R49" s="4"/>
      <c r="S49" s="3"/>
      <c r="T49" s="3"/>
      <c r="U49" s="4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7.399999999999999">
      <c r="A50" s="2"/>
      <c r="B50" s="160" t="s">
        <v>186</v>
      </c>
      <c r="C50" s="1"/>
      <c r="D50" s="1"/>
      <c r="E50" s="1"/>
      <c r="F50" s="161" t="s">
        <v>91</v>
      </c>
      <c r="G50" s="158">
        <f t="shared" si="1"/>
        <v>0</v>
      </c>
      <c r="H50" s="158">
        <f t="shared" si="2"/>
        <v>0</v>
      </c>
      <c r="I50" s="158">
        <f t="shared" si="3"/>
        <v>1</v>
      </c>
      <c r="J50" s="158">
        <f t="shared" si="4"/>
        <v>0</v>
      </c>
      <c r="K50" s="158">
        <f t="shared" si="5"/>
        <v>0</v>
      </c>
      <c r="L50" s="158">
        <f t="shared" si="6"/>
        <v>0</v>
      </c>
      <c r="M50" s="158">
        <f t="shared" si="7"/>
        <v>0</v>
      </c>
      <c r="N50" s="158">
        <f t="shared" si="8"/>
        <v>0</v>
      </c>
      <c r="O50" s="159">
        <f t="shared" si="9"/>
        <v>1</v>
      </c>
      <c r="P50" s="2"/>
      <c r="Q50" s="2"/>
      <c r="R50" s="4"/>
      <c r="S50" s="3"/>
      <c r="T50" s="3"/>
      <c r="U50" s="4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6.2">
      <c r="A51" s="2"/>
      <c r="B51" s="157" t="s">
        <v>187</v>
      </c>
      <c r="C51" s="1"/>
      <c r="D51" s="1"/>
      <c r="E51" s="1"/>
      <c r="F51" s="158" t="s">
        <v>30</v>
      </c>
      <c r="G51" s="158">
        <f t="shared" si="1"/>
        <v>0</v>
      </c>
      <c r="H51" s="158">
        <f t="shared" si="2"/>
        <v>0</v>
      </c>
      <c r="I51" s="158">
        <f t="shared" si="3"/>
        <v>1</v>
      </c>
      <c r="J51" s="158">
        <f t="shared" si="4"/>
        <v>8</v>
      </c>
      <c r="K51" s="158">
        <f t="shared" si="5"/>
        <v>1</v>
      </c>
      <c r="L51" s="158">
        <f t="shared" si="6"/>
        <v>0</v>
      </c>
      <c r="M51" s="158">
        <f t="shared" si="7"/>
        <v>0</v>
      </c>
      <c r="N51" s="158">
        <f t="shared" si="8"/>
        <v>0</v>
      </c>
      <c r="O51" s="159">
        <f t="shared" si="9"/>
        <v>10</v>
      </c>
      <c r="P51" s="2"/>
      <c r="Q51" s="2"/>
      <c r="R51" s="4"/>
      <c r="S51" s="3"/>
      <c r="T51" s="3"/>
      <c r="U51" s="4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6.2">
      <c r="A52" s="2"/>
      <c r="B52" s="157" t="s">
        <v>188</v>
      </c>
      <c r="C52" s="1"/>
      <c r="D52" s="1"/>
      <c r="E52" s="1"/>
      <c r="F52" s="158" t="s">
        <v>31</v>
      </c>
      <c r="G52" s="158">
        <f t="shared" si="1"/>
        <v>0</v>
      </c>
      <c r="H52" s="158">
        <f t="shared" si="2"/>
        <v>0</v>
      </c>
      <c r="I52" s="158">
        <f t="shared" si="3"/>
        <v>0</v>
      </c>
      <c r="J52" s="158">
        <f t="shared" si="4"/>
        <v>7</v>
      </c>
      <c r="K52" s="158">
        <f t="shared" si="5"/>
        <v>3</v>
      </c>
      <c r="L52" s="158">
        <f t="shared" si="6"/>
        <v>1</v>
      </c>
      <c r="M52" s="158">
        <f t="shared" si="7"/>
        <v>0</v>
      </c>
      <c r="N52" s="158">
        <f t="shared" si="8"/>
        <v>0</v>
      </c>
      <c r="O52" s="159">
        <f t="shared" si="9"/>
        <v>11</v>
      </c>
      <c r="P52" s="2"/>
      <c r="Q52" s="2"/>
      <c r="R52" s="4"/>
      <c r="S52" s="3"/>
      <c r="T52" s="3"/>
      <c r="U52" s="4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6.2">
      <c r="A53" s="2"/>
      <c r="B53" s="157" t="s">
        <v>189</v>
      </c>
      <c r="C53" s="1"/>
      <c r="D53" s="1"/>
      <c r="E53" s="1"/>
      <c r="F53" s="158" t="s">
        <v>38</v>
      </c>
      <c r="G53" s="158">
        <f t="shared" si="1"/>
        <v>0</v>
      </c>
      <c r="H53" s="158">
        <f t="shared" si="2"/>
        <v>0</v>
      </c>
      <c r="I53" s="158">
        <f t="shared" si="3"/>
        <v>0</v>
      </c>
      <c r="J53" s="158">
        <f t="shared" si="4"/>
        <v>5</v>
      </c>
      <c r="K53" s="158">
        <f t="shared" si="5"/>
        <v>1</v>
      </c>
      <c r="L53" s="158">
        <f t="shared" si="6"/>
        <v>0</v>
      </c>
      <c r="M53" s="158">
        <f t="shared" si="7"/>
        <v>0</v>
      </c>
      <c r="N53" s="158">
        <f t="shared" si="8"/>
        <v>0</v>
      </c>
      <c r="O53" s="159">
        <f t="shared" si="9"/>
        <v>6</v>
      </c>
      <c r="P53" s="2"/>
      <c r="Q53" s="2"/>
      <c r="R53" s="4"/>
      <c r="S53" s="3"/>
      <c r="T53" s="3"/>
      <c r="U53" s="4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6.2">
      <c r="A54" s="2"/>
      <c r="B54" s="157" t="s">
        <v>190</v>
      </c>
      <c r="C54" s="158"/>
      <c r="D54" s="158"/>
      <c r="E54" s="158"/>
      <c r="F54" s="158" t="s">
        <v>129</v>
      </c>
      <c r="G54" s="158">
        <f t="shared" si="1"/>
        <v>0</v>
      </c>
      <c r="H54" s="158">
        <f t="shared" si="2"/>
        <v>0</v>
      </c>
      <c r="I54" s="158">
        <f t="shared" si="3"/>
        <v>0</v>
      </c>
      <c r="J54" s="158">
        <f t="shared" si="4"/>
        <v>0</v>
      </c>
      <c r="K54" s="158">
        <f t="shared" si="5"/>
        <v>0</v>
      </c>
      <c r="L54" s="158">
        <f t="shared" si="6"/>
        <v>1</v>
      </c>
      <c r="M54" s="158">
        <f t="shared" si="7"/>
        <v>0</v>
      </c>
      <c r="N54" s="158">
        <f t="shared" si="8"/>
        <v>0</v>
      </c>
      <c r="O54" s="159">
        <f t="shared" si="9"/>
        <v>1</v>
      </c>
      <c r="P54" s="2"/>
      <c r="Q54" s="2"/>
      <c r="R54" s="4"/>
      <c r="S54" s="3"/>
      <c r="T54" s="3"/>
      <c r="U54" s="4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6.2">
      <c r="A55" s="2"/>
      <c r="B55" s="157" t="s">
        <v>191</v>
      </c>
      <c r="C55" s="1"/>
      <c r="D55" s="1"/>
      <c r="E55" s="1"/>
      <c r="F55" s="158" t="s">
        <v>32</v>
      </c>
      <c r="G55" s="158">
        <f t="shared" si="1"/>
        <v>0</v>
      </c>
      <c r="H55" s="158">
        <f t="shared" si="2"/>
        <v>0</v>
      </c>
      <c r="I55" s="158">
        <f t="shared" si="3"/>
        <v>0</v>
      </c>
      <c r="J55" s="158">
        <f t="shared" si="4"/>
        <v>7</v>
      </c>
      <c r="K55" s="158">
        <f t="shared" si="5"/>
        <v>0</v>
      </c>
      <c r="L55" s="158">
        <f t="shared" si="6"/>
        <v>3</v>
      </c>
      <c r="M55" s="158">
        <f t="shared" si="7"/>
        <v>0</v>
      </c>
      <c r="N55" s="158">
        <f t="shared" si="8"/>
        <v>0</v>
      </c>
      <c r="O55" s="159">
        <f t="shared" si="9"/>
        <v>10</v>
      </c>
      <c r="P55" s="2"/>
      <c r="Q55" s="2"/>
      <c r="R55" s="4"/>
      <c r="S55" s="3"/>
      <c r="T55" s="3"/>
      <c r="U55" s="4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6.2">
      <c r="A56" s="2"/>
      <c r="B56" s="157" t="s">
        <v>192</v>
      </c>
      <c r="C56" s="1"/>
      <c r="D56" s="1"/>
      <c r="E56" s="1"/>
      <c r="F56" s="158" t="s">
        <v>44</v>
      </c>
      <c r="G56" s="158">
        <f t="shared" si="1"/>
        <v>0</v>
      </c>
      <c r="H56" s="158">
        <f t="shared" si="2"/>
        <v>0</v>
      </c>
      <c r="I56" s="158">
        <f t="shared" si="3"/>
        <v>0</v>
      </c>
      <c r="J56" s="158">
        <f t="shared" si="4"/>
        <v>7</v>
      </c>
      <c r="K56" s="158">
        <f t="shared" si="5"/>
        <v>3</v>
      </c>
      <c r="L56" s="158">
        <f t="shared" si="6"/>
        <v>1</v>
      </c>
      <c r="M56" s="158">
        <f t="shared" si="7"/>
        <v>0</v>
      </c>
      <c r="N56" s="158">
        <f t="shared" si="8"/>
        <v>0</v>
      </c>
      <c r="O56" s="159">
        <f t="shared" si="9"/>
        <v>11</v>
      </c>
      <c r="P56" s="2"/>
      <c r="Q56" s="2"/>
      <c r="R56" s="4"/>
      <c r="S56" s="3"/>
      <c r="T56" s="3"/>
      <c r="U56" s="4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6.2">
      <c r="A57" s="2"/>
      <c r="B57" s="157" t="s">
        <v>193</v>
      </c>
      <c r="C57" s="1"/>
      <c r="D57" s="1"/>
      <c r="E57" s="1"/>
      <c r="F57" s="158" t="s">
        <v>109</v>
      </c>
      <c r="G57" s="158">
        <f t="shared" si="1"/>
        <v>0</v>
      </c>
      <c r="H57" s="158">
        <f t="shared" si="2"/>
        <v>0</v>
      </c>
      <c r="I57" s="158">
        <f t="shared" si="3"/>
        <v>0</v>
      </c>
      <c r="J57" s="158">
        <f t="shared" si="4"/>
        <v>0</v>
      </c>
      <c r="K57" s="158">
        <f t="shared" si="5"/>
        <v>0</v>
      </c>
      <c r="L57" s="158">
        <f t="shared" si="6"/>
        <v>0</v>
      </c>
      <c r="M57" s="158">
        <f t="shared" si="7"/>
        <v>4</v>
      </c>
      <c r="N57" s="158">
        <f t="shared" si="8"/>
        <v>0</v>
      </c>
      <c r="O57" s="159">
        <f t="shared" si="9"/>
        <v>4</v>
      </c>
      <c r="P57" s="2"/>
      <c r="Q57" s="2"/>
      <c r="R57" s="4"/>
      <c r="S57" s="3"/>
      <c r="T57" s="3"/>
      <c r="U57" s="4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6.2">
      <c r="A58" s="2"/>
      <c r="B58" s="157" t="s">
        <v>194</v>
      </c>
      <c r="C58" s="1"/>
      <c r="D58" s="1"/>
      <c r="E58" s="1"/>
      <c r="F58" s="158" t="s">
        <v>39</v>
      </c>
      <c r="G58" s="158">
        <f t="shared" si="1"/>
        <v>0</v>
      </c>
      <c r="H58" s="158">
        <f t="shared" si="2"/>
        <v>0</v>
      </c>
      <c r="I58" s="158">
        <f t="shared" si="3"/>
        <v>0</v>
      </c>
      <c r="J58" s="158">
        <f t="shared" si="4"/>
        <v>0</v>
      </c>
      <c r="K58" s="158">
        <f t="shared" si="5"/>
        <v>5</v>
      </c>
      <c r="L58" s="158">
        <f t="shared" si="6"/>
        <v>1</v>
      </c>
      <c r="M58" s="158">
        <f t="shared" si="7"/>
        <v>0</v>
      </c>
      <c r="N58" s="158">
        <f t="shared" si="8"/>
        <v>0</v>
      </c>
      <c r="O58" s="159">
        <f t="shared" si="9"/>
        <v>6</v>
      </c>
      <c r="P58" s="2"/>
      <c r="Q58" s="2"/>
      <c r="R58" s="4"/>
      <c r="S58" s="3"/>
      <c r="T58" s="3"/>
      <c r="U58" s="4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6.2">
      <c r="A59" s="2"/>
      <c r="B59" s="157" t="s">
        <v>195</v>
      </c>
      <c r="C59" s="1"/>
      <c r="D59" s="1"/>
      <c r="E59" s="1"/>
      <c r="F59" s="158" t="s">
        <v>60</v>
      </c>
      <c r="G59" s="158">
        <f t="shared" si="1"/>
        <v>0</v>
      </c>
      <c r="H59" s="158">
        <f t="shared" si="2"/>
        <v>0</v>
      </c>
      <c r="I59" s="158">
        <f t="shared" si="3"/>
        <v>0</v>
      </c>
      <c r="J59" s="158">
        <f t="shared" si="4"/>
        <v>0</v>
      </c>
      <c r="K59" s="158">
        <f t="shared" si="5"/>
        <v>7</v>
      </c>
      <c r="L59" s="158">
        <f t="shared" si="6"/>
        <v>0</v>
      </c>
      <c r="M59" s="158">
        <f t="shared" si="7"/>
        <v>0</v>
      </c>
      <c r="N59" s="158">
        <f t="shared" si="8"/>
        <v>0</v>
      </c>
      <c r="O59" s="159">
        <f t="shared" si="9"/>
        <v>7</v>
      </c>
      <c r="P59" s="2"/>
      <c r="Q59" s="2"/>
      <c r="R59" s="4"/>
      <c r="S59" s="3"/>
      <c r="T59" s="3"/>
      <c r="U59" s="4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6.2">
      <c r="A60" s="2"/>
      <c r="B60" s="157" t="s">
        <v>196</v>
      </c>
      <c r="C60" s="1"/>
      <c r="D60" s="1"/>
      <c r="E60" s="1"/>
      <c r="F60" s="158" t="s">
        <v>52</v>
      </c>
      <c r="G60" s="158">
        <f t="shared" si="1"/>
        <v>0</v>
      </c>
      <c r="H60" s="158">
        <f t="shared" si="2"/>
        <v>0</v>
      </c>
      <c r="I60" s="158">
        <f t="shared" si="3"/>
        <v>0</v>
      </c>
      <c r="J60" s="158">
        <f t="shared" si="4"/>
        <v>0</v>
      </c>
      <c r="K60" s="158">
        <f t="shared" si="5"/>
        <v>5</v>
      </c>
      <c r="L60" s="158">
        <f t="shared" si="6"/>
        <v>1</v>
      </c>
      <c r="M60" s="158">
        <f t="shared" si="7"/>
        <v>1</v>
      </c>
      <c r="N60" s="158">
        <f t="shared" si="8"/>
        <v>0</v>
      </c>
      <c r="O60" s="159">
        <f t="shared" si="9"/>
        <v>7</v>
      </c>
      <c r="P60" s="2"/>
      <c r="Q60" s="2"/>
      <c r="R60" s="4"/>
      <c r="S60" s="3"/>
      <c r="T60" s="3"/>
      <c r="U60" s="4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6.2">
      <c r="A61" s="2"/>
      <c r="B61" s="157" t="s">
        <v>197</v>
      </c>
      <c r="C61" s="1"/>
      <c r="D61" s="1"/>
      <c r="E61" s="1"/>
      <c r="F61" s="158" t="s">
        <v>61</v>
      </c>
      <c r="G61" s="158">
        <f t="shared" si="1"/>
        <v>0</v>
      </c>
      <c r="H61" s="158">
        <f t="shared" si="2"/>
        <v>0</v>
      </c>
      <c r="I61" s="158">
        <f t="shared" si="3"/>
        <v>0</v>
      </c>
      <c r="J61" s="158">
        <f t="shared" si="4"/>
        <v>0</v>
      </c>
      <c r="K61" s="158">
        <f t="shared" si="5"/>
        <v>0</v>
      </c>
      <c r="L61" s="158">
        <f t="shared" si="6"/>
        <v>7</v>
      </c>
      <c r="M61" s="158">
        <f t="shared" si="7"/>
        <v>0</v>
      </c>
      <c r="N61" s="158">
        <f t="shared" si="8"/>
        <v>0</v>
      </c>
      <c r="O61" s="159">
        <f t="shared" si="9"/>
        <v>7</v>
      </c>
      <c r="P61" s="2"/>
      <c r="Q61" s="2"/>
      <c r="R61" s="4"/>
      <c r="S61" s="3"/>
      <c r="T61" s="3"/>
      <c r="U61" s="4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6.2">
      <c r="A62" s="2"/>
      <c r="B62" s="157" t="s">
        <v>198</v>
      </c>
      <c r="C62" s="1"/>
      <c r="D62" s="1"/>
      <c r="E62" s="1"/>
      <c r="F62" s="158" t="s">
        <v>71</v>
      </c>
      <c r="G62" s="158">
        <f t="shared" si="1"/>
        <v>0</v>
      </c>
      <c r="H62" s="158">
        <f t="shared" si="2"/>
        <v>0</v>
      </c>
      <c r="I62" s="158">
        <f t="shared" si="3"/>
        <v>0</v>
      </c>
      <c r="J62" s="158">
        <f t="shared" si="4"/>
        <v>0</v>
      </c>
      <c r="K62" s="158">
        <f t="shared" si="5"/>
        <v>7</v>
      </c>
      <c r="L62" s="158">
        <f t="shared" si="6"/>
        <v>1</v>
      </c>
      <c r="M62" s="158">
        <f t="shared" si="7"/>
        <v>0</v>
      </c>
      <c r="N62" s="158">
        <f t="shared" si="8"/>
        <v>0</v>
      </c>
      <c r="O62" s="159">
        <f t="shared" si="9"/>
        <v>8</v>
      </c>
      <c r="P62" s="2"/>
      <c r="Q62" s="2"/>
      <c r="R62" s="4"/>
      <c r="S62" s="3"/>
      <c r="T62" s="3"/>
      <c r="U62" s="4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6.2">
      <c r="A63" s="2"/>
      <c r="B63" s="157" t="s">
        <v>199</v>
      </c>
      <c r="C63" s="1"/>
      <c r="D63" s="1"/>
      <c r="E63" s="1"/>
      <c r="F63" s="158" t="s">
        <v>79</v>
      </c>
      <c r="G63" s="158">
        <f t="shared" si="1"/>
        <v>0</v>
      </c>
      <c r="H63" s="158">
        <f t="shared" si="2"/>
        <v>0</v>
      </c>
      <c r="I63" s="158">
        <f t="shared" si="3"/>
        <v>0</v>
      </c>
      <c r="J63" s="158">
        <f t="shared" si="4"/>
        <v>0</v>
      </c>
      <c r="K63" s="158">
        <f t="shared" si="5"/>
        <v>0</v>
      </c>
      <c r="L63" s="158">
        <f t="shared" si="6"/>
        <v>0</v>
      </c>
      <c r="M63" s="158">
        <f t="shared" si="7"/>
        <v>2</v>
      </c>
      <c r="N63" s="158">
        <f t="shared" si="8"/>
        <v>0</v>
      </c>
      <c r="O63" s="159">
        <f t="shared" si="9"/>
        <v>2</v>
      </c>
      <c r="P63" s="2"/>
      <c r="Q63" s="2"/>
      <c r="R63" s="4"/>
      <c r="S63" s="3"/>
      <c r="T63" s="3"/>
      <c r="U63" s="4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6.2">
      <c r="A64" s="2"/>
      <c r="B64" s="157" t="s">
        <v>200</v>
      </c>
      <c r="C64" s="1"/>
      <c r="D64" s="1"/>
      <c r="E64" s="1"/>
      <c r="F64" s="158" t="s">
        <v>53</v>
      </c>
      <c r="G64" s="158">
        <f t="shared" si="1"/>
        <v>0</v>
      </c>
      <c r="H64" s="158">
        <f t="shared" si="2"/>
        <v>0</v>
      </c>
      <c r="I64" s="158">
        <f t="shared" si="3"/>
        <v>0</v>
      </c>
      <c r="J64" s="158">
        <f t="shared" si="4"/>
        <v>0</v>
      </c>
      <c r="K64" s="158">
        <f t="shared" si="5"/>
        <v>0</v>
      </c>
      <c r="L64" s="158">
        <f t="shared" si="6"/>
        <v>3</v>
      </c>
      <c r="M64" s="158">
        <f t="shared" si="7"/>
        <v>2</v>
      </c>
      <c r="N64" s="158">
        <f t="shared" si="8"/>
        <v>0</v>
      </c>
      <c r="O64" s="159">
        <f t="shared" si="9"/>
        <v>5</v>
      </c>
      <c r="P64" s="2"/>
      <c r="Q64" s="2"/>
      <c r="R64" s="4"/>
      <c r="S64" s="3"/>
      <c r="T64" s="3"/>
      <c r="U64" s="4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6.2">
      <c r="A65" s="2"/>
      <c r="B65" s="157" t="s">
        <v>201</v>
      </c>
      <c r="C65" s="1"/>
      <c r="D65" s="1"/>
      <c r="E65" s="1"/>
      <c r="F65" s="158" t="s">
        <v>72</v>
      </c>
      <c r="G65" s="158">
        <f t="shared" si="1"/>
        <v>0</v>
      </c>
      <c r="H65" s="158">
        <f t="shared" si="2"/>
        <v>0</v>
      </c>
      <c r="I65" s="158">
        <f t="shared" si="3"/>
        <v>0</v>
      </c>
      <c r="J65" s="158">
        <f t="shared" si="4"/>
        <v>0</v>
      </c>
      <c r="K65" s="158">
        <f t="shared" si="5"/>
        <v>0</v>
      </c>
      <c r="L65" s="158">
        <f t="shared" si="6"/>
        <v>6</v>
      </c>
      <c r="M65" s="158">
        <f t="shared" si="7"/>
        <v>1</v>
      </c>
      <c r="N65" s="158">
        <f t="shared" si="8"/>
        <v>0</v>
      </c>
      <c r="O65" s="159">
        <f t="shared" si="9"/>
        <v>7</v>
      </c>
      <c r="P65" s="2"/>
      <c r="Q65" s="2"/>
      <c r="R65" s="4"/>
      <c r="S65" s="3"/>
      <c r="T65" s="3"/>
      <c r="U65" s="4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6.2">
      <c r="A66" s="2"/>
      <c r="B66" s="157" t="s">
        <v>202</v>
      </c>
      <c r="C66" s="1"/>
      <c r="D66" s="1"/>
      <c r="E66" s="1"/>
      <c r="F66" s="158" t="s">
        <v>40</v>
      </c>
      <c r="G66" s="158">
        <f t="shared" si="1"/>
        <v>0</v>
      </c>
      <c r="H66" s="158">
        <f t="shared" si="2"/>
        <v>0</v>
      </c>
      <c r="I66" s="158">
        <f t="shared" si="3"/>
        <v>0</v>
      </c>
      <c r="J66" s="158">
        <f t="shared" si="4"/>
        <v>0</v>
      </c>
      <c r="K66" s="158">
        <f t="shared" si="5"/>
        <v>0</v>
      </c>
      <c r="L66" s="158">
        <f t="shared" si="6"/>
        <v>5</v>
      </c>
      <c r="M66" s="158">
        <f t="shared" si="7"/>
        <v>0</v>
      </c>
      <c r="N66" s="158">
        <f t="shared" si="8"/>
        <v>0</v>
      </c>
      <c r="O66" s="159">
        <f t="shared" si="9"/>
        <v>5</v>
      </c>
      <c r="P66" s="2"/>
      <c r="Q66" s="2"/>
      <c r="R66" s="4"/>
      <c r="S66" s="3"/>
      <c r="T66" s="3"/>
      <c r="U66" s="4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6.2">
      <c r="A67" s="2"/>
      <c r="B67" s="157" t="s">
        <v>203</v>
      </c>
      <c r="C67" s="2"/>
      <c r="D67" s="2"/>
      <c r="E67" s="2"/>
      <c r="F67" s="158" t="s">
        <v>73</v>
      </c>
      <c r="G67" s="158">
        <f t="shared" si="1"/>
        <v>0</v>
      </c>
      <c r="H67" s="158">
        <f t="shared" si="2"/>
        <v>0</v>
      </c>
      <c r="I67" s="158">
        <f t="shared" si="3"/>
        <v>0</v>
      </c>
      <c r="J67" s="158">
        <f t="shared" si="4"/>
        <v>0</v>
      </c>
      <c r="K67" s="158">
        <f t="shared" si="5"/>
        <v>0</v>
      </c>
      <c r="L67" s="158">
        <f t="shared" si="6"/>
        <v>1</v>
      </c>
      <c r="M67" s="158">
        <f t="shared" si="7"/>
        <v>4</v>
      </c>
      <c r="N67" s="158">
        <f t="shared" si="8"/>
        <v>0</v>
      </c>
      <c r="O67" s="159">
        <f t="shared" si="9"/>
        <v>5</v>
      </c>
      <c r="P67" s="2"/>
      <c r="Q67" s="2"/>
      <c r="R67" s="4"/>
      <c r="S67" s="3"/>
      <c r="T67" s="3"/>
      <c r="U67" s="4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6.2">
      <c r="A68" s="2"/>
      <c r="B68" s="157" t="s">
        <v>204</v>
      </c>
      <c r="C68" s="2"/>
      <c r="D68" s="2"/>
      <c r="E68" s="2"/>
      <c r="F68" s="158" t="s">
        <v>148</v>
      </c>
      <c r="G68" s="158">
        <f t="shared" si="1"/>
        <v>0</v>
      </c>
      <c r="H68" s="158">
        <f t="shared" si="2"/>
        <v>0</v>
      </c>
      <c r="I68" s="158">
        <f t="shared" si="3"/>
        <v>0</v>
      </c>
      <c r="J68" s="158">
        <f t="shared" si="4"/>
        <v>0</v>
      </c>
      <c r="K68" s="158">
        <f t="shared" si="5"/>
        <v>0</v>
      </c>
      <c r="L68" s="158">
        <f t="shared" si="6"/>
        <v>2</v>
      </c>
      <c r="M68" s="158">
        <f t="shared" si="7"/>
        <v>0</v>
      </c>
      <c r="N68" s="158">
        <f t="shared" si="8"/>
        <v>0</v>
      </c>
      <c r="O68" s="159">
        <f t="shared" si="9"/>
        <v>2</v>
      </c>
      <c r="P68" s="2"/>
      <c r="Q68" s="2"/>
      <c r="R68" s="4"/>
      <c r="S68" s="3"/>
      <c r="T68" s="3"/>
      <c r="U68" s="4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71" spans="1:47" ht="16.2">
      <c r="A71" s="2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4"/>
      <c r="S71" s="3"/>
      <c r="T71" s="3"/>
      <c r="U71" s="4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6.2">
      <c r="A72" s="2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4"/>
      <c r="S72" s="3"/>
      <c r="T72" s="3"/>
      <c r="U72" s="4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6.2">
      <c r="A73" s="2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4"/>
      <c r="S73" s="3"/>
      <c r="T73" s="3"/>
      <c r="U73" s="4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6.2">
      <c r="A74" s="2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4"/>
      <c r="S74" s="3"/>
      <c r="T74" s="3"/>
      <c r="U74" s="4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6.2">
      <c r="A75" s="2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2"/>
      <c r="Q75" s="2"/>
      <c r="R75" s="4"/>
      <c r="S75" s="3"/>
      <c r="T75" s="3"/>
      <c r="U75" s="4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6.2">
      <c r="A76" s="2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4"/>
      <c r="S76" s="3"/>
      <c r="T76" s="3"/>
      <c r="U76" s="4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6.2">
      <c r="A77" s="2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4"/>
      <c r="S77" s="3"/>
      <c r="T77" s="3"/>
      <c r="U77" s="4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6.2">
      <c r="A78" s="2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4"/>
      <c r="S78" s="3"/>
      <c r="T78" s="3"/>
      <c r="U78" s="4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6.2">
      <c r="A79" s="2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4"/>
      <c r="S79" s="3"/>
      <c r="T79" s="3"/>
      <c r="U79" s="4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6.2">
      <c r="A80" s="2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4"/>
      <c r="S80" s="3"/>
      <c r="T80" s="3"/>
      <c r="U80" s="4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6.2">
      <c r="A81" s="2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4"/>
      <c r="S81" s="3"/>
      <c r="T81" s="3"/>
      <c r="U81" s="4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6.2">
      <c r="A82" s="2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4"/>
      <c r="S82" s="3"/>
      <c r="T82" s="3"/>
      <c r="U82" s="4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6.2">
      <c r="A83" s="2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4"/>
      <c r="S83" s="3"/>
      <c r="T83" s="3"/>
      <c r="U83" s="4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6.2">
      <c r="A84" s="2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4"/>
      <c r="S84" s="3"/>
      <c r="T84" s="3"/>
      <c r="U84" s="4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6.2">
      <c r="A85" s="2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4"/>
      <c r="S85" s="3"/>
      <c r="T85" s="3"/>
      <c r="U85" s="4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6.2">
      <c r="A86" s="2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2"/>
      <c r="Q86" s="2"/>
      <c r="R86" s="4"/>
      <c r="S86" s="3"/>
      <c r="T86" s="3"/>
      <c r="U86" s="4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6.2">
      <c r="A87" s="2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2"/>
      <c r="Q87" s="2"/>
      <c r="R87" s="4"/>
      <c r="S87" s="3"/>
      <c r="T87" s="3"/>
      <c r="U87" s="4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6.2">
      <c r="A88" s="2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2"/>
      <c r="Q88" s="2"/>
      <c r="R88" s="4"/>
      <c r="S88" s="3"/>
      <c r="T88" s="3"/>
      <c r="U88" s="4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6.2">
      <c r="A89" s="2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4"/>
      <c r="S89" s="3"/>
      <c r="T89" s="3"/>
      <c r="U89" s="4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6.2">
      <c r="A90" s="2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2"/>
      <c r="Q90" s="2"/>
      <c r="R90" s="4"/>
      <c r="S90" s="3"/>
      <c r="T90" s="3"/>
      <c r="U90" s="4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6.2">
      <c r="A91" s="2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4"/>
      <c r="S91" s="3"/>
      <c r="T91" s="3"/>
      <c r="U91" s="4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6.2">
      <c r="A92" s="2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4"/>
      <c r="S92" s="3"/>
      <c r="T92" s="3"/>
      <c r="U92" s="4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6.2">
      <c r="A93" s="2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2"/>
      <c r="Q93" s="2"/>
      <c r="R93" s="4"/>
      <c r="S93" s="3"/>
      <c r="T93" s="3"/>
      <c r="U93" s="4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6.2">
      <c r="A94" s="2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2"/>
      <c r="Q94" s="2"/>
      <c r="R94" s="4"/>
      <c r="S94" s="3"/>
      <c r="T94" s="3"/>
      <c r="U94" s="4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6.2">
      <c r="A95" s="2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2"/>
      <c r="Q95" s="2"/>
      <c r="R95" s="4"/>
      <c r="S95" s="3"/>
      <c r="T95" s="3"/>
      <c r="U95" s="4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6.2">
      <c r="A96" s="2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4"/>
      <c r="S96" s="3"/>
      <c r="T96" s="3"/>
      <c r="U96" s="4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6.2">
      <c r="A97" s="2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2"/>
      <c r="Q97" s="2"/>
      <c r="R97" s="4"/>
      <c r="S97" s="3"/>
      <c r="T97" s="3"/>
      <c r="U97" s="4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6.2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2"/>
      <c r="Q98" s="2"/>
      <c r="R98" s="4"/>
      <c r="S98" s="3"/>
      <c r="T98" s="3"/>
      <c r="U98" s="4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6.2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2"/>
      <c r="Q99" s="2"/>
      <c r="R99" s="4"/>
      <c r="S99" s="3"/>
      <c r="T99" s="3"/>
      <c r="U99" s="4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6.2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2"/>
      <c r="Q100" s="2"/>
      <c r="R100" s="4"/>
      <c r="S100" s="3"/>
      <c r="T100" s="3"/>
      <c r="U100" s="4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6.2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2"/>
      <c r="Q101" s="2"/>
      <c r="R101" s="4"/>
      <c r="S101" s="3"/>
      <c r="T101" s="3"/>
      <c r="U101" s="4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6.2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2"/>
      <c r="Q102" s="2"/>
      <c r="R102" s="4"/>
      <c r="S102" s="3"/>
      <c r="T102" s="3"/>
      <c r="U102" s="4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6.2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2"/>
      <c r="Q103" s="2"/>
      <c r="R103" s="4"/>
      <c r="S103" s="3"/>
      <c r="T103" s="3"/>
      <c r="U103" s="4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6.2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/>
      <c r="R104" s="4"/>
      <c r="S104" s="3"/>
      <c r="T104" s="3"/>
      <c r="U104" s="4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6.2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2"/>
      <c r="Q105" s="2"/>
      <c r="R105" s="4"/>
      <c r="S105" s="3"/>
      <c r="T105" s="3"/>
      <c r="U105" s="4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6.2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/>
      <c r="R106" s="4"/>
      <c r="S106" s="3"/>
      <c r="T106" s="3"/>
      <c r="U106" s="4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6.2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/>
      <c r="R107" s="4"/>
      <c r="S107" s="3"/>
      <c r="T107" s="3"/>
      <c r="U107" s="4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6.2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2"/>
      <c r="Q108" s="2"/>
      <c r="R108" s="4"/>
      <c r="S108" s="3"/>
      <c r="T108" s="3"/>
      <c r="U108" s="4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6.2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2"/>
      <c r="Q109" s="2"/>
      <c r="R109" s="4"/>
      <c r="S109" s="3"/>
      <c r="T109" s="3"/>
      <c r="U109" s="4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6.2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2"/>
      <c r="Q110" s="2"/>
      <c r="R110" s="4"/>
      <c r="S110" s="3"/>
      <c r="T110" s="3"/>
      <c r="U110" s="4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6.2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2"/>
      <c r="Q111" s="2"/>
      <c r="R111" s="4"/>
      <c r="S111" s="3"/>
      <c r="T111" s="3"/>
      <c r="U111" s="4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6.2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2"/>
      <c r="R112" s="4"/>
      <c r="S112" s="3"/>
      <c r="T112" s="3"/>
      <c r="U112" s="4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6.2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/>
      <c r="R113" s="4"/>
      <c r="S113" s="3"/>
      <c r="T113" s="3"/>
      <c r="U113" s="4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6.2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4"/>
      <c r="S114" s="3"/>
      <c r="T114" s="3"/>
      <c r="U114" s="4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6.2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2"/>
      <c r="Q115" s="2"/>
      <c r="R115" s="4"/>
      <c r="S115" s="3"/>
      <c r="T115" s="3"/>
      <c r="U115" s="4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6.2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4"/>
      <c r="S116" s="3"/>
      <c r="T116" s="3"/>
      <c r="U116" s="4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6.2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2"/>
      <c r="Q117" s="2"/>
      <c r="R117" s="4"/>
      <c r="S117" s="3"/>
      <c r="T117" s="3"/>
      <c r="U117" s="4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6.2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4"/>
      <c r="S118" s="3"/>
      <c r="T118" s="3"/>
      <c r="U118" s="4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6.2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4"/>
      <c r="S119" s="3"/>
      <c r="T119" s="3"/>
      <c r="U119" s="4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6.2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4"/>
      <c r="S120" s="3"/>
      <c r="T120" s="3"/>
      <c r="U120" s="4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6.2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4"/>
      <c r="S121" s="3"/>
      <c r="T121" s="3"/>
      <c r="U121" s="4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6.2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4"/>
      <c r="S122" s="3"/>
      <c r="T122" s="3"/>
      <c r="U122" s="4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6.2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4"/>
      <c r="S123" s="3"/>
      <c r="T123" s="3"/>
      <c r="U123" s="4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6.2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4"/>
      <c r="S124" s="3"/>
      <c r="T124" s="3"/>
      <c r="U124" s="4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6.2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2"/>
      <c r="Q125" s="2"/>
      <c r="R125" s="4"/>
      <c r="S125" s="3"/>
      <c r="T125" s="3"/>
      <c r="U125" s="4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6.2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2"/>
      <c r="Q126" s="2"/>
      <c r="R126" s="4"/>
      <c r="S126" s="3"/>
      <c r="T126" s="3"/>
      <c r="U126" s="4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6.2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/>
      <c r="R127" s="4"/>
      <c r="S127" s="3"/>
      <c r="T127" s="3"/>
      <c r="U127" s="4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6.2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/>
      <c r="R128" s="4"/>
      <c r="S128" s="3"/>
      <c r="T128" s="3"/>
      <c r="U128" s="4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6.2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4"/>
      <c r="S129" s="3"/>
      <c r="T129" s="3"/>
      <c r="U129" s="4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6.2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2"/>
      <c r="Q130" s="2"/>
      <c r="R130" s="4"/>
      <c r="S130" s="3"/>
      <c r="T130" s="3"/>
      <c r="U130" s="4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6.2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2"/>
      <c r="Q131" s="2"/>
      <c r="R131" s="4"/>
      <c r="S131" s="3"/>
      <c r="T131" s="3"/>
      <c r="U131" s="4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6.2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4"/>
      <c r="S132" s="3"/>
      <c r="T132" s="3"/>
      <c r="U132" s="4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6.2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4"/>
      <c r="S133" s="3"/>
      <c r="T133" s="3"/>
      <c r="U133" s="4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6.2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/>
      <c r="R134" s="4"/>
      <c r="S134" s="3"/>
      <c r="T134" s="3"/>
      <c r="U134" s="4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6.2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2"/>
      <c r="Q135" s="2"/>
      <c r="R135" s="4"/>
      <c r="S135" s="3"/>
      <c r="T135" s="3"/>
      <c r="U135" s="4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6.2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2"/>
      <c r="Q136" s="2"/>
      <c r="R136" s="4"/>
      <c r="S136" s="3"/>
      <c r="T136" s="3"/>
      <c r="U136" s="4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6.2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/>
      <c r="R137" s="4"/>
      <c r="S137" s="3"/>
      <c r="T137" s="3"/>
      <c r="U137" s="4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6.2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4"/>
      <c r="S138" s="3"/>
      <c r="T138" s="3"/>
      <c r="U138" s="4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6.2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4"/>
      <c r="S139" s="3"/>
      <c r="T139" s="3"/>
      <c r="U139" s="4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6.2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/>
      <c r="R140" s="4"/>
      <c r="S140" s="3"/>
      <c r="T140" s="3"/>
      <c r="U140" s="4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6.2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2"/>
      <c r="Q141" s="2"/>
      <c r="R141" s="4"/>
      <c r="S141" s="3"/>
      <c r="T141" s="3"/>
      <c r="U141" s="4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6.2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4"/>
      <c r="S142" s="3"/>
      <c r="T142" s="3"/>
      <c r="U142" s="4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6.2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/>
      <c r="R143" s="4"/>
      <c r="S143" s="3"/>
      <c r="T143" s="3"/>
      <c r="U143" s="4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6.2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4"/>
      <c r="S144" s="3"/>
      <c r="T144" s="3"/>
      <c r="U144" s="4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6.2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4"/>
      <c r="S145" s="3"/>
      <c r="T145" s="3"/>
      <c r="U145" s="4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6.2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4"/>
      <c r="S146" s="3"/>
      <c r="T146" s="3"/>
      <c r="U146" s="4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6.2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4"/>
      <c r="S147" s="3"/>
      <c r="T147" s="3"/>
      <c r="U147" s="4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6.2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4"/>
      <c r="S148" s="3"/>
      <c r="T148" s="3"/>
      <c r="U148" s="4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6.2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4"/>
      <c r="S149" s="3"/>
      <c r="T149" s="3"/>
      <c r="U149" s="4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6.2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4"/>
      <c r="S150" s="3"/>
      <c r="T150" s="3"/>
      <c r="U150" s="4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6.2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2"/>
      <c r="Q151" s="2"/>
      <c r="R151" s="4"/>
      <c r="S151" s="3"/>
      <c r="T151" s="3"/>
      <c r="U151" s="4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6.2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4"/>
      <c r="S152" s="3"/>
      <c r="T152" s="3"/>
      <c r="U152" s="4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6.2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/>
      <c r="R153" s="4"/>
      <c r="S153" s="3"/>
      <c r="T153" s="3"/>
      <c r="U153" s="4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6.2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4"/>
      <c r="S154" s="3"/>
      <c r="T154" s="3"/>
      <c r="U154" s="4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6.2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2"/>
      <c r="Q155" s="2"/>
      <c r="R155" s="4"/>
      <c r="S155" s="3"/>
      <c r="T155" s="3"/>
      <c r="U155" s="4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6.2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2"/>
      <c r="Q156" s="2"/>
      <c r="R156" s="4"/>
      <c r="S156" s="3"/>
      <c r="T156" s="3"/>
      <c r="U156" s="4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6.2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/>
      <c r="R157" s="4"/>
      <c r="S157" s="3"/>
      <c r="T157" s="3"/>
      <c r="U157" s="4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6.2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/>
      <c r="R158" s="4"/>
      <c r="S158" s="3"/>
      <c r="T158" s="3"/>
      <c r="U158" s="4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6.2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/>
      <c r="R159" s="4"/>
      <c r="S159" s="3"/>
      <c r="T159" s="3"/>
      <c r="U159" s="4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6.2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/>
      <c r="R160" s="4"/>
      <c r="S160" s="3"/>
      <c r="T160" s="3"/>
      <c r="U160" s="4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6.2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4"/>
      <c r="S161" s="3"/>
      <c r="T161" s="3"/>
      <c r="U161" s="4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6.2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2"/>
      <c r="Q162" s="2"/>
      <c r="R162" s="4"/>
      <c r="S162" s="3"/>
      <c r="T162" s="3"/>
      <c r="U162" s="4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6.2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4"/>
      <c r="S163" s="3"/>
      <c r="T163" s="3"/>
      <c r="U163" s="4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6.2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4"/>
      <c r="S164" s="3"/>
      <c r="T164" s="3"/>
      <c r="U164" s="4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6.2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4"/>
      <c r="S165" s="3"/>
      <c r="T165" s="3"/>
      <c r="U165" s="4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6.2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4"/>
      <c r="S166" s="3"/>
      <c r="T166" s="3"/>
      <c r="U166" s="4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6.2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/>
      <c r="R167" s="4"/>
      <c r="S167" s="3"/>
      <c r="T167" s="3"/>
      <c r="U167" s="4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6.2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/>
      <c r="R168" s="4"/>
      <c r="S168" s="3"/>
      <c r="T168" s="3"/>
      <c r="U168" s="4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6.2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/>
      <c r="R169" s="4"/>
      <c r="S169" s="3"/>
      <c r="T169" s="3"/>
      <c r="U169" s="4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6.2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2"/>
      <c r="Q170" s="2"/>
      <c r="R170" s="4"/>
      <c r="S170" s="3"/>
      <c r="T170" s="3"/>
      <c r="U170" s="4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6.2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2"/>
      <c r="Q171" s="2"/>
      <c r="R171" s="4"/>
      <c r="S171" s="3"/>
      <c r="T171" s="3"/>
      <c r="U171" s="4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6.2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/>
      <c r="R172" s="4"/>
      <c r="S172" s="3"/>
      <c r="T172" s="3"/>
      <c r="U172" s="4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6.2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4"/>
      <c r="S173" s="3"/>
      <c r="T173" s="3"/>
      <c r="U173" s="4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6.2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/>
      <c r="R174" s="4"/>
      <c r="S174" s="3"/>
      <c r="T174" s="3"/>
      <c r="U174" s="4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6.2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4"/>
      <c r="S175" s="3"/>
      <c r="T175" s="3"/>
      <c r="U175" s="4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6.2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/>
      <c r="R176" s="4"/>
      <c r="S176" s="3"/>
      <c r="T176" s="3"/>
      <c r="U176" s="4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6.2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/>
      <c r="R177" s="4"/>
      <c r="S177" s="3"/>
      <c r="T177" s="3"/>
      <c r="U177" s="4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6.2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2"/>
      <c r="Q178" s="2"/>
      <c r="R178" s="4"/>
      <c r="S178" s="3"/>
      <c r="T178" s="3"/>
      <c r="U178" s="4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6.2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2"/>
      <c r="Q179" s="2"/>
      <c r="R179" s="4"/>
      <c r="S179" s="3"/>
      <c r="T179" s="3"/>
      <c r="U179" s="4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6.2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2"/>
      <c r="Q180" s="2"/>
      <c r="R180" s="4"/>
      <c r="S180" s="3"/>
      <c r="T180" s="3"/>
      <c r="U180" s="4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6.2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/>
      <c r="R181" s="4"/>
      <c r="S181" s="3"/>
      <c r="T181" s="3"/>
      <c r="U181" s="4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6.2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/>
      <c r="R182" s="4"/>
      <c r="S182" s="3"/>
      <c r="T182" s="3"/>
      <c r="U182" s="4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6.2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4"/>
      <c r="S183" s="3"/>
      <c r="T183" s="3"/>
      <c r="U183" s="4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6.2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4"/>
      <c r="S184" s="3"/>
      <c r="T184" s="3"/>
      <c r="U184" s="4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6.2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2"/>
      <c r="Q185" s="2"/>
      <c r="R185" s="4"/>
      <c r="S185" s="3"/>
      <c r="T185" s="3"/>
      <c r="U185" s="4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6.2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2"/>
      <c r="Q186" s="2"/>
      <c r="R186" s="4"/>
      <c r="S186" s="3"/>
      <c r="T186" s="3"/>
      <c r="U186" s="4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6.2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/>
      <c r="R187" s="4"/>
      <c r="S187" s="3"/>
      <c r="T187" s="3"/>
      <c r="U187" s="4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6.2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2"/>
      <c r="Q188" s="2"/>
      <c r="R188" s="4"/>
      <c r="S188" s="3"/>
      <c r="T188" s="3"/>
      <c r="U188" s="4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6.2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/>
      <c r="R189" s="4"/>
      <c r="S189" s="3"/>
      <c r="T189" s="3"/>
      <c r="U189" s="4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6.2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/>
      <c r="R190" s="4"/>
      <c r="S190" s="3"/>
      <c r="T190" s="3"/>
      <c r="U190" s="4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6.2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2"/>
      <c r="Q191" s="2"/>
      <c r="R191" s="4"/>
      <c r="S191" s="3"/>
      <c r="T191" s="3"/>
      <c r="U191" s="4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6.2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2"/>
      <c r="Q192" s="2"/>
      <c r="R192" s="4"/>
      <c r="S192" s="3"/>
      <c r="T192" s="3"/>
      <c r="U192" s="4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6.2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2"/>
      <c r="Q193" s="2"/>
      <c r="R193" s="4"/>
      <c r="S193" s="3"/>
      <c r="T193" s="3"/>
      <c r="U193" s="4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6.2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/>
      <c r="R194" s="4"/>
      <c r="S194" s="3"/>
      <c r="T194" s="3"/>
      <c r="U194" s="4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6.2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2"/>
      <c r="Q195" s="2"/>
      <c r="R195" s="4"/>
      <c r="S195" s="3"/>
      <c r="T195" s="3"/>
      <c r="U195" s="4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6.2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2"/>
      <c r="Q196" s="2"/>
      <c r="R196" s="4"/>
      <c r="S196" s="3"/>
      <c r="T196" s="3"/>
      <c r="U196" s="4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6.2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2"/>
      <c r="Q197" s="2"/>
      <c r="R197" s="4"/>
      <c r="S197" s="3"/>
      <c r="T197" s="3"/>
      <c r="U197" s="4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6.2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4"/>
      <c r="S198" s="3"/>
      <c r="T198" s="3"/>
      <c r="U198" s="4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6.2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2"/>
      <c r="Q199" s="2"/>
      <c r="R199" s="4"/>
      <c r="S199" s="3"/>
      <c r="T199" s="3"/>
      <c r="U199" s="4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6.2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4"/>
      <c r="S200" s="3"/>
      <c r="T200" s="3"/>
      <c r="U200" s="4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6.2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2"/>
      <c r="R201" s="4"/>
      <c r="S201" s="3"/>
      <c r="T201" s="3"/>
      <c r="U201" s="4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6.2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4"/>
      <c r="S202" s="3"/>
      <c r="T202" s="3"/>
      <c r="U202" s="4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6.2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/>
      <c r="R203" s="4"/>
      <c r="S203" s="3"/>
      <c r="T203" s="3"/>
      <c r="U203" s="4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6.2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2"/>
      <c r="Q204" s="2"/>
      <c r="R204" s="4"/>
      <c r="S204" s="3"/>
      <c r="T204" s="3"/>
      <c r="U204" s="4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6.2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2"/>
      <c r="Q205" s="2"/>
      <c r="R205" s="4"/>
      <c r="S205" s="3"/>
      <c r="T205" s="3"/>
      <c r="U205" s="4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6.2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2"/>
      <c r="Q206" s="2"/>
      <c r="R206" s="4"/>
      <c r="S206" s="3"/>
      <c r="T206" s="3"/>
      <c r="U206" s="4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6.2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2"/>
      <c r="Q207" s="2"/>
      <c r="R207" s="4"/>
      <c r="S207" s="3"/>
      <c r="T207" s="3"/>
      <c r="U207" s="4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6.2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/>
      <c r="R208" s="4"/>
      <c r="S208" s="3"/>
      <c r="T208" s="3"/>
      <c r="U208" s="4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6.2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2"/>
      <c r="Q209" s="2"/>
      <c r="R209" s="4"/>
      <c r="S209" s="3"/>
      <c r="T209" s="3"/>
      <c r="U209" s="4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6.2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2"/>
      <c r="Q210" s="2"/>
      <c r="R210" s="4"/>
      <c r="S210" s="3"/>
      <c r="T210" s="3"/>
      <c r="U210" s="4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6.2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2"/>
      <c r="Q211" s="2"/>
      <c r="R211" s="4"/>
      <c r="S211" s="3"/>
      <c r="T211" s="3"/>
      <c r="U211" s="4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6.2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2"/>
      <c r="Q212" s="2"/>
      <c r="R212" s="4"/>
      <c r="S212" s="3"/>
      <c r="T212" s="3"/>
      <c r="U212" s="4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6.2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2"/>
      <c r="Q213" s="2"/>
      <c r="R213" s="4"/>
      <c r="S213" s="3"/>
      <c r="T213" s="3"/>
      <c r="U213" s="4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6.2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/>
      <c r="R214" s="4"/>
      <c r="S214" s="3"/>
      <c r="T214" s="3"/>
      <c r="U214" s="4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6.2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2"/>
      <c r="Q215" s="2"/>
      <c r="R215" s="4"/>
      <c r="S215" s="3"/>
      <c r="T215" s="3"/>
      <c r="U215" s="4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6.2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2"/>
      <c r="Q216" s="2"/>
      <c r="R216" s="4"/>
      <c r="S216" s="3"/>
      <c r="T216" s="3"/>
      <c r="U216" s="4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6.2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2"/>
      <c r="Q217" s="2"/>
      <c r="R217" s="4"/>
      <c r="S217" s="3"/>
      <c r="T217" s="3"/>
      <c r="U217" s="4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6.2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2"/>
      <c r="Q218" s="2"/>
      <c r="R218" s="4"/>
      <c r="S218" s="3"/>
      <c r="T218" s="3"/>
      <c r="U218" s="4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6.2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/>
      <c r="R219" s="4"/>
      <c r="S219" s="3"/>
      <c r="T219" s="3"/>
      <c r="U219" s="4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6.2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2"/>
      <c r="Q220" s="2"/>
      <c r="R220" s="4"/>
      <c r="S220" s="3"/>
      <c r="T220" s="3"/>
      <c r="U220" s="4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6.2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2"/>
      <c r="Q221" s="2"/>
      <c r="R221" s="4"/>
      <c r="S221" s="3"/>
      <c r="T221" s="3"/>
      <c r="U221" s="4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6.2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2"/>
      <c r="Q222" s="2"/>
      <c r="R222" s="4"/>
      <c r="S222" s="3"/>
      <c r="T222" s="3"/>
      <c r="U222" s="4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6.2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2"/>
      <c r="Q223" s="2"/>
      <c r="R223" s="4"/>
      <c r="S223" s="3"/>
      <c r="T223" s="3"/>
      <c r="U223" s="4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6.2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/>
      <c r="R224" s="4"/>
      <c r="S224" s="3"/>
      <c r="T224" s="3"/>
      <c r="U224" s="4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6.2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/>
      <c r="R225" s="4"/>
      <c r="S225" s="3"/>
      <c r="T225" s="3"/>
      <c r="U225" s="4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6.2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2"/>
      <c r="Q226" s="2"/>
      <c r="R226" s="4"/>
      <c r="S226" s="3"/>
      <c r="T226" s="3"/>
      <c r="U226" s="4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6.2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2"/>
      <c r="Q227" s="2"/>
      <c r="R227" s="4"/>
      <c r="S227" s="3"/>
      <c r="T227" s="3"/>
      <c r="U227" s="4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6.2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/>
      <c r="R228" s="4"/>
      <c r="S228" s="3"/>
      <c r="T228" s="3"/>
      <c r="U228" s="4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6.2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2"/>
      <c r="Q229" s="2"/>
      <c r="R229" s="4"/>
      <c r="S229" s="3"/>
      <c r="T229" s="3"/>
      <c r="U229" s="4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6.2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2"/>
      <c r="Q230" s="2"/>
      <c r="R230" s="4"/>
      <c r="S230" s="3"/>
      <c r="T230" s="3"/>
      <c r="U230" s="4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6.2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2"/>
      <c r="Q231" s="2"/>
      <c r="R231" s="4"/>
      <c r="S231" s="3"/>
      <c r="T231" s="3"/>
      <c r="U231" s="4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6.2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4"/>
      <c r="S232" s="3"/>
      <c r="T232" s="3"/>
      <c r="U232" s="4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6.2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/>
      <c r="R233" s="4"/>
      <c r="S233" s="3"/>
      <c r="T233" s="3"/>
      <c r="U233" s="4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6.2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/>
      <c r="R234" s="4"/>
      <c r="S234" s="3"/>
      <c r="T234" s="3"/>
      <c r="U234" s="4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6.2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2"/>
      <c r="Q235" s="2"/>
      <c r="R235" s="4"/>
      <c r="S235" s="3"/>
      <c r="T235" s="3"/>
      <c r="U235" s="4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6.2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2"/>
      <c r="Q236" s="2"/>
      <c r="R236" s="4"/>
      <c r="S236" s="3"/>
      <c r="T236" s="3"/>
      <c r="U236" s="4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6.2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2"/>
      <c r="Q237" s="2"/>
      <c r="R237" s="4"/>
      <c r="S237" s="3"/>
      <c r="T237" s="3"/>
      <c r="U237" s="4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6.2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2"/>
      <c r="Q238" s="2"/>
      <c r="R238" s="4"/>
      <c r="S238" s="3"/>
      <c r="T238" s="3"/>
      <c r="U238" s="4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6.2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2"/>
      <c r="Q239" s="2"/>
      <c r="R239" s="4"/>
      <c r="S239" s="3"/>
      <c r="T239" s="3"/>
      <c r="U239" s="4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6.2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2"/>
      <c r="Q240" s="2"/>
      <c r="R240" s="4"/>
      <c r="S240" s="3"/>
      <c r="T240" s="3"/>
      <c r="U240" s="4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6.2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2"/>
      <c r="Q241" s="2"/>
      <c r="R241" s="4"/>
      <c r="S241" s="3"/>
      <c r="T241" s="3"/>
      <c r="U241" s="4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6.2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2"/>
      <c r="Q242" s="2"/>
      <c r="R242" s="4"/>
      <c r="S242" s="3"/>
      <c r="T242" s="3"/>
      <c r="U242" s="4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6.2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2"/>
      <c r="Q243" s="2"/>
      <c r="R243" s="4"/>
      <c r="S243" s="3"/>
      <c r="T243" s="3"/>
      <c r="U243" s="4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6.2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2"/>
      <c r="Q244" s="2"/>
      <c r="R244" s="4"/>
      <c r="S244" s="3"/>
      <c r="T244" s="3"/>
      <c r="U244" s="4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6.2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2"/>
      <c r="Q245" s="2"/>
      <c r="R245" s="4"/>
      <c r="S245" s="3"/>
      <c r="T245" s="3"/>
      <c r="U245" s="4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6.2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2"/>
      <c r="Q246" s="2"/>
      <c r="R246" s="4"/>
      <c r="S246" s="3"/>
      <c r="T246" s="3"/>
      <c r="U246" s="4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6.2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2"/>
      <c r="Q247" s="2"/>
      <c r="R247" s="4"/>
      <c r="S247" s="3"/>
      <c r="T247" s="3"/>
      <c r="U247" s="4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6.2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2"/>
      <c r="Q248" s="2"/>
      <c r="R248" s="4"/>
      <c r="S248" s="3"/>
      <c r="T248" s="3"/>
      <c r="U248" s="4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6.2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2"/>
      <c r="Q249" s="2"/>
      <c r="R249" s="4"/>
      <c r="S249" s="3"/>
      <c r="T249" s="3"/>
      <c r="U249" s="4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6.2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2"/>
      <c r="Q250" s="2"/>
      <c r="R250" s="4"/>
      <c r="S250" s="3"/>
      <c r="T250" s="3"/>
      <c r="U250" s="4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6.2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2"/>
      <c r="Q251" s="2"/>
      <c r="R251" s="4"/>
      <c r="S251" s="3"/>
      <c r="T251" s="3"/>
      <c r="U251" s="4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6.2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/>
      <c r="R252" s="4"/>
      <c r="S252" s="3"/>
      <c r="T252" s="3"/>
      <c r="U252" s="4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6.2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/>
      <c r="R253" s="4"/>
      <c r="S253" s="3"/>
      <c r="T253" s="3"/>
      <c r="U253" s="4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6.2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4"/>
      <c r="S254" s="3"/>
      <c r="T254" s="3"/>
      <c r="U254" s="4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6.2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4"/>
      <c r="S255" s="3"/>
      <c r="T255" s="3"/>
      <c r="U255" s="4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6.2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4"/>
      <c r="S256" s="3"/>
      <c r="T256" s="3"/>
      <c r="U256" s="4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6.2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4"/>
      <c r="S257" s="3"/>
      <c r="T257" s="3"/>
      <c r="U257" s="4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6.2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/>
      <c r="R258" s="4"/>
      <c r="S258" s="3"/>
      <c r="T258" s="3"/>
      <c r="U258" s="4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6.2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4"/>
      <c r="S259" s="3"/>
      <c r="T259" s="3"/>
      <c r="U259" s="4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6.2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2"/>
      <c r="Q260" s="2"/>
      <c r="R260" s="4"/>
      <c r="S260" s="3"/>
      <c r="T260" s="3"/>
      <c r="U260" s="4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6.2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2"/>
      <c r="Q261" s="2"/>
      <c r="R261" s="4"/>
      <c r="S261" s="3"/>
      <c r="T261" s="3"/>
      <c r="U261" s="4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6.2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2"/>
      <c r="Q262" s="2"/>
      <c r="R262" s="4"/>
      <c r="S262" s="3"/>
      <c r="T262" s="3"/>
      <c r="U262" s="4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6.2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2"/>
      <c r="Q263" s="2"/>
      <c r="R263" s="4"/>
      <c r="S263" s="3"/>
      <c r="T263" s="3"/>
      <c r="U263" s="4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6.2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2"/>
      <c r="Q264" s="2"/>
      <c r="R264" s="4"/>
      <c r="S264" s="3"/>
      <c r="T264" s="3"/>
      <c r="U264" s="4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6.2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2"/>
      <c r="Q265" s="2"/>
      <c r="R265" s="4"/>
      <c r="S265" s="3"/>
      <c r="T265" s="3"/>
      <c r="U265" s="4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6.2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2"/>
      <c r="Q266" s="2"/>
      <c r="R266" s="4"/>
      <c r="S266" s="3"/>
      <c r="T266" s="3"/>
      <c r="U266" s="4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6.2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2"/>
      <c r="Q267" s="2"/>
      <c r="R267" s="4"/>
      <c r="S267" s="3"/>
      <c r="T267" s="3"/>
      <c r="U267" s="4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6.2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2"/>
      <c r="Q268" s="2"/>
      <c r="R268" s="4"/>
      <c r="S268" s="3"/>
      <c r="T268" s="3"/>
      <c r="U268" s="4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6.2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2"/>
      <c r="Q269" s="2"/>
      <c r="R269" s="4"/>
      <c r="S269" s="3"/>
      <c r="T269" s="3"/>
      <c r="U269" s="4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6.2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2"/>
      <c r="Q270" s="2"/>
      <c r="R270" s="4"/>
      <c r="S270" s="3"/>
      <c r="T270" s="3"/>
      <c r="U270" s="4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6.2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2"/>
      <c r="Q271" s="2"/>
      <c r="R271" s="4"/>
      <c r="S271" s="3"/>
      <c r="T271" s="3"/>
      <c r="U271" s="4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6.2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2"/>
      <c r="Q272" s="2"/>
      <c r="R272" s="4"/>
      <c r="S272" s="3"/>
      <c r="T272" s="3"/>
      <c r="U272" s="4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6.2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2"/>
      <c r="Q273" s="2"/>
      <c r="R273" s="4"/>
      <c r="S273" s="3"/>
      <c r="T273" s="3"/>
      <c r="U273" s="4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6.2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2"/>
      <c r="Q274" s="2"/>
      <c r="R274" s="4"/>
      <c r="S274" s="3"/>
      <c r="T274" s="3"/>
      <c r="U274" s="4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6.2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2"/>
      <c r="Q275" s="2"/>
      <c r="R275" s="4"/>
      <c r="S275" s="3"/>
      <c r="T275" s="3"/>
      <c r="U275" s="4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6.2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2"/>
      <c r="Q276" s="2"/>
      <c r="R276" s="4"/>
      <c r="S276" s="3"/>
      <c r="T276" s="3"/>
      <c r="U276" s="4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6.2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2"/>
      <c r="Q277" s="2"/>
      <c r="R277" s="4"/>
      <c r="S277" s="3"/>
      <c r="T277" s="3"/>
      <c r="U277" s="4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6.2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2"/>
      <c r="Q278" s="2"/>
      <c r="R278" s="4"/>
      <c r="S278" s="3"/>
      <c r="T278" s="3"/>
      <c r="U278" s="4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6.2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2"/>
      <c r="Q279" s="2"/>
      <c r="R279" s="4"/>
      <c r="S279" s="3"/>
      <c r="T279" s="3"/>
      <c r="U279" s="4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6.2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2"/>
      <c r="Q280" s="2"/>
      <c r="R280" s="4"/>
      <c r="S280" s="3"/>
      <c r="T280" s="3"/>
      <c r="U280" s="4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6.2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2"/>
      <c r="Q281" s="2"/>
      <c r="R281" s="4"/>
      <c r="S281" s="3"/>
      <c r="T281" s="3"/>
      <c r="U281" s="4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6.2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2"/>
      <c r="Q282" s="2"/>
      <c r="R282" s="4"/>
      <c r="S282" s="3"/>
      <c r="T282" s="3"/>
      <c r="U282" s="4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6.2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2"/>
      <c r="Q283" s="2"/>
      <c r="R283" s="4"/>
      <c r="S283" s="3"/>
      <c r="T283" s="3"/>
      <c r="U283" s="4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6.2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2"/>
      <c r="Q284" s="2"/>
      <c r="R284" s="4"/>
      <c r="S284" s="3"/>
      <c r="T284" s="3"/>
      <c r="U284" s="4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6.2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2"/>
      <c r="Q285" s="2"/>
      <c r="R285" s="4"/>
      <c r="S285" s="3"/>
      <c r="T285" s="3"/>
      <c r="U285" s="4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6.2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2"/>
      <c r="Q286" s="2"/>
      <c r="R286" s="4"/>
      <c r="S286" s="3"/>
      <c r="T286" s="3"/>
      <c r="U286" s="4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6.2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2"/>
      <c r="Q287" s="2"/>
      <c r="R287" s="4"/>
      <c r="S287" s="3"/>
      <c r="T287" s="3"/>
      <c r="U287" s="4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6.2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/>
      <c r="R288" s="4"/>
      <c r="S288" s="3"/>
      <c r="T288" s="3"/>
      <c r="U288" s="4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6.2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2"/>
      <c r="Q289" s="2"/>
      <c r="R289" s="4"/>
      <c r="S289" s="3"/>
      <c r="T289" s="3"/>
      <c r="U289" s="4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6.2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4"/>
      <c r="S290" s="3"/>
      <c r="T290" s="3"/>
      <c r="U290" s="4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6.2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2"/>
      <c r="Q291" s="2"/>
      <c r="R291" s="4"/>
      <c r="S291" s="3"/>
      <c r="T291" s="3"/>
      <c r="U291" s="4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6.2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/>
      <c r="R292" s="4"/>
      <c r="S292" s="3"/>
      <c r="T292" s="3"/>
      <c r="U292" s="4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6.2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2"/>
      <c r="Q293" s="2"/>
      <c r="R293" s="4"/>
      <c r="S293" s="3"/>
      <c r="T293" s="3"/>
      <c r="U293" s="4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6.2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2"/>
      <c r="Q294" s="2"/>
      <c r="R294" s="4"/>
      <c r="S294" s="3"/>
      <c r="T294" s="3"/>
      <c r="U294" s="4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6.2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2"/>
      <c r="Q295" s="2"/>
      <c r="R295" s="4"/>
      <c r="S295" s="3"/>
      <c r="T295" s="3"/>
      <c r="U295" s="4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6.2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2"/>
      <c r="Q296" s="2"/>
      <c r="R296" s="4"/>
      <c r="S296" s="3"/>
      <c r="T296" s="3"/>
      <c r="U296" s="4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6.2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2"/>
      <c r="Q297" s="2"/>
      <c r="R297" s="4"/>
      <c r="S297" s="3"/>
      <c r="T297" s="3"/>
      <c r="U297" s="4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6.2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2"/>
      <c r="Q298" s="2"/>
      <c r="R298" s="4"/>
      <c r="S298" s="3"/>
      <c r="T298" s="3"/>
      <c r="U298" s="4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6.2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2"/>
      <c r="Q299" s="2"/>
      <c r="R299" s="4"/>
      <c r="S299" s="3"/>
      <c r="T299" s="3"/>
      <c r="U299" s="4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6.2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2"/>
      <c r="Q300" s="2"/>
      <c r="R300" s="4"/>
      <c r="S300" s="3"/>
      <c r="T300" s="3"/>
      <c r="U300" s="4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ht="16.2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2"/>
      <c r="Q301" s="2"/>
      <c r="R301" s="4"/>
      <c r="S301" s="3"/>
      <c r="T301" s="3"/>
      <c r="U301" s="4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ht="16.2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2"/>
      <c r="Q302" s="2"/>
      <c r="R302" s="4"/>
      <c r="S302" s="3"/>
      <c r="T302" s="3"/>
      <c r="U302" s="4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ht="16.2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2"/>
      <c r="Q303" s="2"/>
      <c r="R303" s="4"/>
      <c r="S303" s="3"/>
      <c r="T303" s="3"/>
      <c r="U303" s="4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ht="16.2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2"/>
      <c r="Q304" s="2"/>
      <c r="R304" s="4"/>
      <c r="S304" s="3"/>
      <c r="T304" s="3"/>
      <c r="U304" s="4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ht="16.2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2"/>
      <c r="Q305" s="2"/>
      <c r="R305" s="4"/>
      <c r="S305" s="3"/>
      <c r="T305" s="3"/>
      <c r="U305" s="4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ht="16.2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2"/>
      <c r="Q306" s="2"/>
      <c r="R306" s="4"/>
      <c r="S306" s="3"/>
      <c r="T306" s="3"/>
      <c r="U306" s="4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ht="16.2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2"/>
      <c r="Q307" s="2"/>
      <c r="R307" s="4"/>
      <c r="S307" s="3"/>
      <c r="T307" s="3"/>
      <c r="U307" s="4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ht="16.2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2"/>
      <c r="Q308" s="2"/>
      <c r="R308" s="4"/>
      <c r="S308" s="3"/>
      <c r="T308" s="3"/>
      <c r="U308" s="4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ht="16.2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2"/>
      <c r="Q309" s="2"/>
      <c r="R309" s="4"/>
      <c r="S309" s="3"/>
      <c r="T309" s="3"/>
      <c r="U309" s="4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ht="16.2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2"/>
      <c r="Q310" s="2"/>
      <c r="R310" s="4"/>
      <c r="S310" s="3"/>
      <c r="T310" s="3"/>
      <c r="U310" s="4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ht="16.2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2"/>
      <c r="Q311" s="2"/>
      <c r="R311" s="4"/>
      <c r="S311" s="3"/>
      <c r="T311" s="3"/>
      <c r="U311" s="4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ht="16.2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2"/>
      <c r="Q312" s="2"/>
      <c r="R312" s="4"/>
      <c r="S312" s="3"/>
      <c r="T312" s="3"/>
      <c r="U312" s="4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ht="16.2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2"/>
      <c r="Q313" s="2"/>
      <c r="R313" s="4"/>
      <c r="S313" s="3"/>
      <c r="T313" s="3"/>
      <c r="U313" s="4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ht="16.2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2"/>
      <c r="Q314" s="2"/>
      <c r="R314" s="4"/>
      <c r="S314" s="3"/>
      <c r="T314" s="3"/>
      <c r="U314" s="4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ht="16.2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2"/>
      <c r="Q315" s="2"/>
      <c r="R315" s="4"/>
      <c r="S315" s="3"/>
      <c r="T315" s="3"/>
      <c r="U315" s="4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ht="16.2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2"/>
      <c r="Q316" s="2"/>
      <c r="R316" s="4"/>
      <c r="S316" s="3"/>
      <c r="T316" s="3"/>
      <c r="U316" s="4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ht="16.2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2"/>
      <c r="Q317" s="2"/>
      <c r="R317" s="4"/>
      <c r="S317" s="3"/>
      <c r="T317" s="3"/>
      <c r="U317" s="4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ht="16.2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2"/>
      <c r="Q318" s="2"/>
      <c r="R318" s="4"/>
      <c r="S318" s="3"/>
      <c r="T318" s="3"/>
      <c r="U318" s="4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ht="16.2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2"/>
      <c r="Q319" s="2"/>
      <c r="R319" s="4"/>
      <c r="S319" s="3"/>
      <c r="T319" s="3"/>
      <c r="U319" s="4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ht="16.2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2"/>
      <c r="Q320" s="2"/>
      <c r="R320" s="4"/>
      <c r="S320" s="3"/>
      <c r="T320" s="3"/>
      <c r="U320" s="4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ht="16.2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2"/>
      <c r="Q321" s="2"/>
      <c r="R321" s="4"/>
      <c r="S321" s="3"/>
      <c r="T321" s="3"/>
      <c r="U321" s="4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ht="16.2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2"/>
      <c r="Q322" s="2"/>
      <c r="R322" s="4"/>
      <c r="S322" s="3"/>
      <c r="T322" s="3"/>
      <c r="U322" s="4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ht="16.2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2"/>
      <c r="Q323" s="2"/>
      <c r="R323" s="4"/>
      <c r="S323" s="3"/>
      <c r="T323" s="3"/>
      <c r="U323" s="4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ht="16.2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2"/>
      <c r="Q324" s="2"/>
      <c r="R324" s="4"/>
      <c r="S324" s="3"/>
      <c r="T324" s="3"/>
      <c r="U324" s="4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ht="16.2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2"/>
      <c r="Q325" s="2"/>
      <c r="R325" s="4"/>
      <c r="S325" s="3"/>
      <c r="T325" s="3"/>
      <c r="U325" s="4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ht="16.2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2"/>
      <c r="Q326" s="2"/>
      <c r="R326" s="4"/>
      <c r="S326" s="3"/>
      <c r="T326" s="3"/>
      <c r="U326" s="4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ht="16.2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2"/>
      <c r="Q327" s="2"/>
      <c r="R327" s="4"/>
      <c r="S327" s="3"/>
      <c r="T327" s="3"/>
      <c r="U327" s="4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ht="16.2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2"/>
      <c r="Q328" s="2"/>
      <c r="R328" s="4"/>
      <c r="S328" s="3"/>
      <c r="T328" s="3"/>
      <c r="U328" s="4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ht="16.2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2"/>
      <c r="Q329" s="2"/>
      <c r="R329" s="4"/>
      <c r="S329" s="3"/>
      <c r="T329" s="3"/>
      <c r="U329" s="4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ht="16.2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2"/>
      <c r="Q330" s="2"/>
      <c r="R330" s="4"/>
      <c r="S330" s="3"/>
      <c r="T330" s="3"/>
      <c r="U330" s="4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ht="16.2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2"/>
      <c r="Q331" s="2"/>
      <c r="R331" s="4"/>
      <c r="S331" s="3"/>
      <c r="T331" s="3"/>
      <c r="U331" s="4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ht="16.2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2"/>
      <c r="Q332" s="2"/>
      <c r="R332" s="4"/>
      <c r="S332" s="3"/>
      <c r="T332" s="3"/>
      <c r="U332" s="4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ht="16.2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2"/>
      <c r="Q333" s="2"/>
      <c r="R333" s="4"/>
      <c r="S333" s="3"/>
      <c r="T333" s="3"/>
      <c r="U333" s="4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ht="16.2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2"/>
      <c r="Q334" s="2"/>
      <c r="R334" s="4"/>
      <c r="S334" s="3"/>
      <c r="T334" s="3"/>
      <c r="U334" s="4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ht="16.2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2"/>
      <c r="Q335" s="2"/>
      <c r="R335" s="4"/>
      <c r="S335" s="3"/>
      <c r="T335" s="3"/>
      <c r="U335" s="4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ht="16.2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2"/>
      <c r="Q336" s="2"/>
      <c r="R336" s="4"/>
      <c r="S336" s="3"/>
      <c r="T336" s="3"/>
      <c r="U336" s="4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ht="16.2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2"/>
      <c r="Q337" s="2"/>
      <c r="R337" s="4"/>
      <c r="S337" s="3"/>
      <c r="T337" s="3"/>
      <c r="U337" s="4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ht="16.2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2"/>
      <c r="Q338" s="2"/>
      <c r="R338" s="4"/>
      <c r="S338" s="3"/>
      <c r="T338" s="3"/>
      <c r="U338" s="4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ht="16.2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2"/>
      <c r="Q339" s="2"/>
      <c r="R339" s="4"/>
      <c r="S339" s="3"/>
      <c r="T339" s="3"/>
      <c r="U339" s="4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ht="16.2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/>
      <c r="R340" s="4"/>
      <c r="S340" s="3"/>
      <c r="T340" s="3"/>
      <c r="U340" s="4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ht="16.2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/>
      <c r="R341" s="4"/>
      <c r="S341" s="3"/>
      <c r="T341" s="3"/>
      <c r="U341" s="4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ht="16.2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/>
      <c r="R342" s="4"/>
      <c r="S342" s="3"/>
      <c r="T342" s="3"/>
      <c r="U342" s="4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ht="16.2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/>
      <c r="R343" s="4"/>
      <c r="S343" s="3"/>
      <c r="T343" s="3"/>
      <c r="U343" s="4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ht="16.2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2"/>
      <c r="Q344" s="2"/>
      <c r="R344" s="4"/>
      <c r="S344" s="3"/>
      <c r="T344" s="3"/>
      <c r="U344" s="4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ht="16.2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/>
      <c r="R345" s="4"/>
      <c r="S345" s="3"/>
      <c r="T345" s="3"/>
      <c r="U345" s="4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ht="16.2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4"/>
      <c r="S346" s="3"/>
      <c r="T346" s="3"/>
      <c r="U346" s="4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ht="16.2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4"/>
      <c r="S347" s="3"/>
      <c r="T347" s="3"/>
      <c r="U347" s="4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ht="16.2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4"/>
      <c r="S348" s="3"/>
      <c r="T348" s="3"/>
      <c r="U348" s="4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ht="16.2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4"/>
      <c r="S349" s="3"/>
      <c r="T349" s="3"/>
      <c r="U349" s="4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ht="16.2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4"/>
      <c r="S350" s="3"/>
      <c r="T350" s="3"/>
      <c r="U350" s="4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ht="16.2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4"/>
      <c r="S351" s="3"/>
      <c r="T351" s="3"/>
      <c r="U351" s="4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ht="16.2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4"/>
      <c r="S352" s="3"/>
      <c r="T352" s="3"/>
      <c r="U352" s="4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ht="16.2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4"/>
      <c r="S353" s="3"/>
      <c r="T353" s="3"/>
      <c r="U353" s="4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ht="16.2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4"/>
      <c r="S354" s="3"/>
      <c r="T354" s="3"/>
      <c r="U354" s="4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ht="16.2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4"/>
      <c r="S355" s="3"/>
      <c r="T355" s="3"/>
      <c r="U355" s="4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ht="16.2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4"/>
      <c r="S356" s="3"/>
      <c r="T356" s="3"/>
      <c r="U356" s="4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ht="16.2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4"/>
      <c r="S357" s="3"/>
      <c r="T357" s="3"/>
      <c r="U357" s="4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ht="16.2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4"/>
      <c r="S358" s="3"/>
      <c r="T358" s="3"/>
      <c r="U358" s="4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ht="16.2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4"/>
      <c r="S359" s="3"/>
      <c r="T359" s="3"/>
      <c r="U359" s="4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ht="16.2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/>
      <c r="R360" s="4"/>
      <c r="S360" s="3"/>
      <c r="T360" s="3"/>
      <c r="U360" s="4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ht="16.2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/>
      <c r="R361" s="4"/>
      <c r="S361" s="3"/>
      <c r="T361" s="3"/>
      <c r="U361" s="4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ht="16.2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2"/>
      <c r="Q362" s="2"/>
      <c r="R362" s="4"/>
      <c r="S362" s="3"/>
      <c r="T362" s="3"/>
      <c r="U362" s="4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ht="16.2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2"/>
      <c r="Q363" s="2"/>
      <c r="R363" s="4"/>
      <c r="S363" s="3"/>
      <c r="T363" s="3"/>
      <c r="U363" s="4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ht="16.2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2"/>
      <c r="Q364" s="2"/>
      <c r="R364" s="4"/>
      <c r="S364" s="3"/>
      <c r="T364" s="3"/>
      <c r="U364" s="4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ht="16.2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2"/>
      <c r="Q365" s="2"/>
      <c r="R365" s="4"/>
      <c r="S365" s="3"/>
      <c r="T365" s="3"/>
      <c r="U365" s="4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ht="16.2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2"/>
      <c r="Q366" s="2"/>
      <c r="R366" s="4"/>
      <c r="S366" s="3"/>
      <c r="T366" s="3"/>
      <c r="U366" s="4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ht="16.2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2"/>
      <c r="Q367" s="2"/>
      <c r="R367" s="4"/>
      <c r="S367" s="3"/>
      <c r="T367" s="3"/>
      <c r="U367" s="4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ht="16.2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2"/>
      <c r="Q368" s="2"/>
      <c r="R368" s="4"/>
      <c r="S368" s="3"/>
      <c r="T368" s="3"/>
      <c r="U368" s="4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ht="16.2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2"/>
      <c r="Q369" s="2"/>
      <c r="R369" s="4"/>
      <c r="S369" s="3"/>
      <c r="T369" s="3"/>
      <c r="U369" s="4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ht="16.2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2"/>
      <c r="Q370" s="2"/>
      <c r="R370" s="4"/>
      <c r="S370" s="3"/>
      <c r="T370" s="3"/>
      <c r="U370" s="4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ht="16.2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2"/>
      <c r="Q371" s="2"/>
      <c r="R371" s="4"/>
      <c r="S371" s="3"/>
      <c r="T371" s="3"/>
      <c r="U371" s="4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ht="16.2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2"/>
      <c r="Q372" s="2"/>
      <c r="R372" s="4"/>
      <c r="S372" s="3"/>
      <c r="T372" s="3"/>
      <c r="U372" s="4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ht="16.2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2"/>
      <c r="Q373" s="2"/>
      <c r="R373" s="4"/>
      <c r="S373" s="3"/>
      <c r="T373" s="3"/>
      <c r="U373" s="4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ht="16.2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4"/>
      <c r="S374" s="3"/>
      <c r="T374" s="3"/>
      <c r="U374" s="4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ht="16.2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4"/>
      <c r="S375" s="3"/>
      <c r="T375" s="3"/>
      <c r="U375" s="4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ht="16.2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4"/>
      <c r="S376" s="3"/>
      <c r="T376" s="3"/>
      <c r="U376" s="4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ht="16.2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2"/>
      <c r="Q377" s="2"/>
      <c r="R377" s="4"/>
      <c r="S377" s="3"/>
      <c r="T377" s="3"/>
      <c r="U377" s="4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ht="16.2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2"/>
      <c r="Q378" s="2"/>
      <c r="R378" s="4"/>
      <c r="S378" s="3"/>
      <c r="T378" s="3"/>
      <c r="U378" s="4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ht="16.2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2"/>
      <c r="Q379" s="2"/>
      <c r="R379" s="4"/>
      <c r="S379" s="3"/>
      <c r="T379" s="3"/>
      <c r="U379" s="4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ht="16.2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2"/>
      <c r="Q380" s="2"/>
      <c r="R380" s="4"/>
      <c r="S380" s="3"/>
      <c r="T380" s="3"/>
      <c r="U380" s="4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ht="16.2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2"/>
      <c r="Q381" s="2"/>
      <c r="R381" s="4"/>
      <c r="S381" s="3"/>
      <c r="T381" s="3"/>
      <c r="U381" s="4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ht="16.2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2"/>
      <c r="Q382" s="2"/>
      <c r="R382" s="4"/>
      <c r="S382" s="3"/>
      <c r="T382" s="3"/>
      <c r="U382" s="4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ht="16.2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2"/>
      <c r="Q383" s="2"/>
      <c r="R383" s="4"/>
      <c r="S383" s="3"/>
      <c r="T383" s="3"/>
      <c r="U383" s="4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ht="16.2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2"/>
      <c r="Q384" s="2"/>
      <c r="R384" s="4"/>
      <c r="S384" s="3"/>
      <c r="T384" s="3"/>
      <c r="U384" s="4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ht="16.2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2"/>
      <c r="Q385" s="2"/>
      <c r="R385" s="4"/>
      <c r="S385" s="3"/>
      <c r="T385" s="3"/>
      <c r="U385" s="4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ht="16.2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2"/>
      <c r="Q386" s="2"/>
      <c r="R386" s="4"/>
      <c r="S386" s="3"/>
      <c r="T386" s="3"/>
      <c r="U386" s="4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ht="16.2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2"/>
      <c r="Q387" s="2"/>
      <c r="R387" s="4"/>
      <c r="S387" s="3"/>
      <c r="T387" s="3"/>
      <c r="U387" s="4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ht="16.2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2"/>
      <c r="Q388" s="2"/>
      <c r="R388" s="4"/>
      <c r="S388" s="3"/>
      <c r="T388" s="3"/>
      <c r="U388" s="4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ht="16.2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4"/>
      <c r="S389" s="3"/>
      <c r="T389" s="3"/>
      <c r="U389" s="4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ht="16.2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4"/>
      <c r="S390" s="3"/>
      <c r="T390" s="3"/>
      <c r="U390" s="4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ht="16.2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4"/>
      <c r="S391" s="3"/>
      <c r="T391" s="3"/>
      <c r="U391" s="4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ht="16.2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4"/>
      <c r="S392" s="3"/>
      <c r="T392" s="3"/>
      <c r="U392" s="4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ht="16.2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4"/>
      <c r="S393" s="3"/>
      <c r="T393" s="3"/>
      <c r="U393" s="4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ht="16.2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4"/>
      <c r="S394" s="3"/>
      <c r="T394" s="3"/>
      <c r="U394" s="4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ht="16.2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4"/>
      <c r="S395" s="3"/>
      <c r="T395" s="3"/>
      <c r="U395" s="4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ht="16.2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4"/>
      <c r="S396" s="3"/>
      <c r="T396" s="3"/>
      <c r="U396" s="4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ht="16.2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4"/>
      <c r="S397" s="3"/>
      <c r="T397" s="3"/>
      <c r="U397" s="4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ht="16.2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4"/>
      <c r="S398" s="3"/>
      <c r="T398" s="3"/>
      <c r="U398" s="4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ht="16.2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4"/>
      <c r="S399" s="3"/>
      <c r="T399" s="3"/>
      <c r="U399" s="4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ht="16.2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4"/>
      <c r="S400" s="3"/>
      <c r="T400" s="3"/>
      <c r="U400" s="4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ht="16.2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4"/>
      <c r="S401" s="3"/>
      <c r="T401" s="3"/>
      <c r="U401" s="4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ht="16.2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4"/>
      <c r="S402" s="3"/>
      <c r="T402" s="3"/>
      <c r="U402" s="4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ht="16.2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4"/>
      <c r="S403" s="3"/>
      <c r="T403" s="3"/>
      <c r="U403" s="4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ht="16.2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4"/>
      <c r="S404" s="3"/>
      <c r="T404" s="3"/>
      <c r="U404" s="4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ht="16.2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4"/>
      <c r="S405" s="3"/>
      <c r="T405" s="3"/>
      <c r="U405" s="4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ht="16.2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4"/>
      <c r="S406" s="3"/>
      <c r="T406" s="3"/>
      <c r="U406" s="4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ht="16.2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4"/>
      <c r="S407" s="3"/>
      <c r="T407" s="3"/>
      <c r="U407" s="4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ht="16.2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4"/>
      <c r="S408" s="3"/>
      <c r="T408" s="3"/>
      <c r="U408" s="4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ht="16.2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4"/>
      <c r="S409" s="3"/>
      <c r="T409" s="3"/>
      <c r="U409" s="4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ht="16.2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4"/>
      <c r="S410" s="3"/>
      <c r="T410" s="3"/>
      <c r="U410" s="4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ht="16.2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4"/>
      <c r="S411" s="3"/>
      <c r="T411" s="3"/>
      <c r="U411" s="4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ht="16.2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4"/>
      <c r="S412" s="3"/>
      <c r="T412" s="3"/>
      <c r="U412" s="4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ht="16.2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4"/>
      <c r="S413" s="3"/>
      <c r="T413" s="3"/>
      <c r="U413" s="4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ht="16.2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4"/>
      <c r="S414" s="3"/>
      <c r="T414" s="3"/>
      <c r="U414" s="4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ht="16.2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4"/>
      <c r="S415" s="3"/>
      <c r="T415" s="3"/>
      <c r="U415" s="4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ht="16.2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4"/>
      <c r="S416" s="3"/>
      <c r="T416" s="3"/>
      <c r="U416" s="4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ht="16.2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4"/>
      <c r="S417" s="3"/>
      <c r="T417" s="3"/>
      <c r="U417" s="4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ht="16.2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4"/>
      <c r="S418" s="3"/>
      <c r="T418" s="3"/>
      <c r="U418" s="4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ht="16.2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4"/>
      <c r="S419" s="3"/>
      <c r="T419" s="3"/>
      <c r="U419" s="4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ht="16.2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4"/>
      <c r="S420" s="3"/>
      <c r="T420" s="3"/>
      <c r="U420" s="4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ht="16.2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4"/>
      <c r="S421" s="3"/>
      <c r="T421" s="3"/>
      <c r="U421" s="4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ht="16.2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4"/>
      <c r="S422" s="3"/>
      <c r="T422" s="3"/>
      <c r="U422" s="4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ht="16.2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4"/>
      <c r="S423" s="3"/>
      <c r="T423" s="3"/>
      <c r="U423" s="4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ht="16.2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4"/>
      <c r="S424" s="3"/>
      <c r="T424" s="3"/>
      <c r="U424" s="4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ht="16.2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4"/>
      <c r="S425" s="3"/>
      <c r="T425" s="3"/>
      <c r="U425" s="4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ht="16.2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4"/>
      <c r="S426" s="3"/>
      <c r="T426" s="3"/>
      <c r="U426" s="4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ht="16.2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4"/>
      <c r="S427" s="3"/>
      <c r="T427" s="3"/>
      <c r="U427" s="4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ht="16.2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4"/>
      <c r="S428" s="3"/>
      <c r="T428" s="3"/>
      <c r="U428" s="4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ht="16.2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4"/>
      <c r="S429" s="3"/>
      <c r="T429" s="3"/>
      <c r="U429" s="4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ht="16.2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4"/>
      <c r="S430" s="3"/>
      <c r="T430" s="3"/>
      <c r="U430" s="4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ht="16.2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4"/>
      <c r="S431" s="3"/>
      <c r="T431" s="3"/>
      <c r="U431" s="4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ht="16.2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4"/>
      <c r="S432" s="3"/>
      <c r="T432" s="3"/>
      <c r="U432" s="4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ht="16.2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4"/>
      <c r="S433" s="3"/>
      <c r="T433" s="3"/>
      <c r="U433" s="4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ht="16.2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4"/>
      <c r="S434" s="3"/>
      <c r="T434" s="3"/>
      <c r="U434" s="4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ht="16.2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4"/>
      <c r="S435" s="3"/>
      <c r="T435" s="3"/>
      <c r="U435" s="4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ht="16.2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4"/>
      <c r="S436" s="3"/>
      <c r="T436" s="3"/>
      <c r="U436" s="4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ht="16.2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4"/>
      <c r="S437" s="3"/>
      <c r="T437" s="3"/>
      <c r="U437" s="4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ht="16.2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4"/>
      <c r="S438" s="3"/>
      <c r="T438" s="3"/>
      <c r="U438" s="4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ht="16.2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4"/>
      <c r="S439" s="3"/>
      <c r="T439" s="3"/>
      <c r="U439" s="4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ht="16.2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4"/>
      <c r="S440" s="3"/>
      <c r="T440" s="3"/>
      <c r="U440" s="4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ht="16.2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4"/>
      <c r="S441" s="3"/>
      <c r="T441" s="3"/>
      <c r="U441" s="4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ht="16.2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4"/>
      <c r="S442" s="3"/>
      <c r="T442" s="3"/>
      <c r="U442" s="4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ht="16.2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4"/>
      <c r="S443" s="3"/>
      <c r="T443" s="3"/>
      <c r="U443" s="4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ht="16.2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4"/>
      <c r="S444" s="3"/>
      <c r="T444" s="3"/>
      <c r="U444" s="4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ht="16.2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4"/>
      <c r="S445" s="3"/>
      <c r="T445" s="3"/>
      <c r="U445" s="4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ht="16.2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4"/>
      <c r="S446" s="3"/>
      <c r="T446" s="3"/>
      <c r="U446" s="4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ht="16.2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4"/>
      <c r="S447" s="3"/>
      <c r="T447" s="3"/>
      <c r="U447" s="4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ht="16.2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4"/>
      <c r="S448" s="3"/>
      <c r="T448" s="3"/>
      <c r="U448" s="4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ht="16.2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4"/>
      <c r="S449" s="3"/>
      <c r="T449" s="3"/>
      <c r="U449" s="4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ht="16.2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4"/>
      <c r="S450" s="3"/>
      <c r="T450" s="3"/>
      <c r="U450" s="4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ht="16.2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4"/>
      <c r="S451" s="3"/>
      <c r="T451" s="3"/>
      <c r="U451" s="4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ht="16.2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4"/>
      <c r="S452" s="3"/>
      <c r="T452" s="3"/>
      <c r="U452" s="4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ht="16.2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4"/>
      <c r="S453" s="3"/>
      <c r="T453" s="3"/>
      <c r="U453" s="4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ht="16.2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4"/>
      <c r="S454" s="3"/>
      <c r="T454" s="3"/>
      <c r="U454" s="4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ht="16.2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4"/>
      <c r="S455" s="3"/>
      <c r="T455" s="3"/>
      <c r="U455" s="4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ht="16.2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4"/>
      <c r="S456" s="3"/>
      <c r="T456" s="3"/>
      <c r="U456" s="4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ht="16.2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4"/>
      <c r="S457" s="3"/>
      <c r="T457" s="3"/>
      <c r="U457" s="4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ht="16.2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4"/>
      <c r="S458" s="3"/>
      <c r="T458" s="3"/>
      <c r="U458" s="4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ht="16.2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4"/>
      <c r="S459" s="3"/>
      <c r="T459" s="3"/>
      <c r="U459" s="4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ht="16.2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4"/>
      <c r="S460" s="3"/>
      <c r="T460" s="3"/>
      <c r="U460" s="4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ht="16.2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4"/>
      <c r="S461" s="3"/>
      <c r="T461" s="3"/>
      <c r="U461" s="4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ht="16.2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4"/>
      <c r="S462" s="3"/>
      <c r="T462" s="3"/>
      <c r="U462" s="4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ht="16.2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4"/>
      <c r="S463" s="3"/>
      <c r="T463" s="3"/>
      <c r="U463" s="4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ht="16.2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4"/>
      <c r="S464" s="3"/>
      <c r="T464" s="3"/>
      <c r="U464" s="4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ht="16.2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4"/>
      <c r="S465" s="3"/>
      <c r="T465" s="3"/>
      <c r="U465" s="4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ht="16.2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4"/>
      <c r="S466" s="3"/>
      <c r="T466" s="3"/>
      <c r="U466" s="4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ht="16.2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4"/>
      <c r="S467" s="3"/>
      <c r="T467" s="3"/>
      <c r="U467" s="4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ht="16.2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4"/>
      <c r="S468" s="3"/>
      <c r="T468" s="3"/>
      <c r="U468" s="4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ht="16.2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4"/>
      <c r="S469" s="3"/>
      <c r="T469" s="3"/>
      <c r="U469" s="4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ht="16.2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4"/>
      <c r="S470" s="3"/>
      <c r="T470" s="3"/>
      <c r="U470" s="4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ht="16.2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4"/>
      <c r="S471" s="3"/>
      <c r="T471" s="3"/>
      <c r="U471" s="4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ht="16.2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4"/>
      <c r="S472" s="3"/>
      <c r="T472" s="3"/>
      <c r="U472" s="4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ht="16.2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4"/>
      <c r="S473" s="3"/>
      <c r="T473" s="3"/>
      <c r="U473" s="4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ht="16.2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4"/>
      <c r="S474" s="3"/>
      <c r="T474" s="3"/>
      <c r="U474" s="4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ht="16.2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4"/>
      <c r="S475" s="3"/>
      <c r="T475" s="3"/>
      <c r="U475" s="4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ht="16.2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4"/>
      <c r="S476" s="3"/>
      <c r="T476" s="3"/>
      <c r="U476" s="4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ht="16.2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4"/>
      <c r="S477" s="3"/>
      <c r="T477" s="3"/>
      <c r="U477" s="4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ht="16.2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4"/>
      <c r="S478" s="3"/>
      <c r="T478" s="3"/>
      <c r="U478" s="4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ht="16.2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4"/>
      <c r="S479" s="3"/>
      <c r="T479" s="3"/>
      <c r="U479" s="4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ht="16.2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4"/>
      <c r="S480" s="3"/>
      <c r="T480" s="3"/>
      <c r="U480" s="4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ht="16.2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4"/>
      <c r="S481" s="3"/>
      <c r="T481" s="3"/>
      <c r="U481" s="4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ht="16.2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4"/>
      <c r="S482" s="3"/>
      <c r="T482" s="3"/>
      <c r="U482" s="4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ht="16.2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4"/>
      <c r="S483" s="3"/>
      <c r="T483" s="3"/>
      <c r="U483" s="4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ht="16.2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4"/>
      <c r="S484" s="3"/>
      <c r="T484" s="3"/>
      <c r="U484" s="4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ht="16.2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4"/>
      <c r="S485" s="3"/>
      <c r="T485" s="3"/>
      <c r="U485" s="4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ht="16.2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4"/>
      <c r="S486" s="3"/>
      <c r="T486" s="3"/>
      <c r="U486" s="4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ht="16.2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4"/>
      <c r="S487" s="3"/>
      <c r="T487" s="3"/>
      <c r="U487" s="4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ht="16.2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4"/>
      <c r="S488" s="3"/>
      <c r="T488" s="3"/>
      <c r="U488" s="4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ht="16.2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4"/>
      <c r="S489" s="3"/>
      <c r="T489" s="3"/>
      <c r="U489" s="4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ht="16.2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4"/>
      <c r="S490" s="3"/>
      <c r="T490" s="3"/>
      <c r="U490" s="4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ht="16.2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4"/>
      <c r="S491" s="3"/>
      <c r="T491" s="3"/>
      <c r="U491" s="4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ht="16.2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4"/>
      <c r="S492" s="3"/>
      <c r="T492" s="3"/>
      <c r="U492" s="4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ht="16.2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4"/>
      <c r="S493" s="3"/>
      <c r="T493" s="3"/>
      <c r="U493" s="4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ht="16.2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4"/>
      <c r="S494" s="3"/>
      <c r="T494" s="3"/>
      <c r="U494" s="4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ht="16.2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4"/>
      <c r="S495" s="3"/>
      <c r="T495" s="3"/>
      <c r="U495" s="4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ht="16.2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4"/>
      <c r="S496" s="3"/>
      <c r="T496" s="3"/>
      <c r="U496" s="4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ht="16.2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4"/>
      <c r="S497" s="3"/>
      <c r="T497" s="3"/>
      <c r="U497" s="4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ht="16.2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4"/>
      <c r="S498" s="3"/>
      <c r="T498" s="3"/>
      <c r="U498" s="4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ht="16.2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4"/>
      <c r="S499" s="3"/>
      <c r="T499" s="3"/>
      <c r="U499" s="4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ht="16.2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4"/>
      <c r="S500" s="3"/>
      <c r="T500" s="3"/>
      <c r="U500" s="4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spans="1:47" ht="16.2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4"/>
      <c r="S501" s="3"/>
      <c r="T501" s="3"/>
      <c r="U501" s="4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spans="1:47" ht="16.2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4"/>
      <c r="S502" s="3"/>
      <c r="T502" s="3"/>
      <c r="U502" s="4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spans="1:47" ht="16.2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4"/>
      <c r="S503" s="3"/>
      <c r="T503" s="3"/>
      <c r="U503" s="4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spans="1:47" ht="16.2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4"/>
      <c r="S504" s="3"/>
      <c r="T504" s="3"/>
      <c r="U504" s="4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spans="1:47" ht="16.2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4"/>
      <c r="S505" s="3"/>
      <c r="T505" s="3"/>
      <c r="U505" s="4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spans="1:47" ht="16.2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4"/>
      <c r="S506" s="3"/>
      <c r="T506" s="3"/>
      <c r="U506" s="4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spans="1:47" ht="16.2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4"/>
      <c r="S507" s="3"/>
      <c r="T507" s="3"/>
      <c r="U507" s="4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spans="1:47" ht="16.2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4"/>
      <c r="S508" s="3"/>
      <c r="T508" s="3"/>
      <c r="U508" s="4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spans="1:47" ht="16.2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4"/>
      <c r="S509" s="3"/>
      <c r="T509" s="3"/>
      <c r="U509" s="4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spans="1:47" ht="16.2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4"/>
      <c r="S510" s="3"/>
      <c r="T510" s="3"/>
      <c r="U510" s="4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spans="1:47" ht="16.2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4"/>
      <c r="S511" s="3"/>
      <c r="T511" s="3"/>
      <c r="U511" s="4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spans="1:47" ht="16.2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4"/>
      <c r="S512" s="3"/>
      <c r="T512" s="3"/>
      <c r="U512" s="4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spans="1:47" ht="16.2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4"/>
      <c r="S513" s="3"/>
      <c r="T513" s="3"/>
      <c r="U513" s="4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spans="1:47" ht="16.2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4"/>
      <c r="S514" s="3"/>
      <c r="T514" s="3"/>
      <c r="U514" s="4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spans="1:47" ht="16.2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4"/>
      <c r="S515" s="3"/>
      <c r="T515" s="3"/>
      <c r="U515" s="4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spans="1:47" ht="16.2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4"/>
      <c r="S516" s="3"/>
      <c r="T516" s="3"/>
      <c r="U516" s="4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spans="1:47" ht="16.2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4"/>
      <c r="S517" s="3"/>
      <c r="T517" s="3"/>
      <c r="U517" s="4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spans="1:47" ht="16.2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4"/>
      <c r="S518" s="3"/>
      <c r="T518" s="3"/>
      <c r="U518" s="4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spans="1:47" ht="16.2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4"/>
      <c r="S519" s="3"/>
      <c r="T519" s="3"/>
      <c r="U519" s="4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spans="1:47" ht="16.2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4"/>
      <c r="S520" s="3"/>
      <c r="T520" s="3"/>
      <c r="U520" s="4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spans="1:47" ht="16.2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4"/>
      <c r="S521" s="3"/>
      <c r="T521" s="3"/>
      <c r="U521" s="4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spans="1:47" ht="16.2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4"/>
      <c r="S522" s="3"/>
      <c r="T522" s="3"/>
      <c r="U522" s="4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spans="1:47" ht="16.2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4"/>
      <c r="S523" s="3"/>
      <c r="T523" s="3"/>
      <c r="U523" s="4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spans="1:47" ht="16.2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4"/>
      <c r="S524" s="3"/>
      <c r="T524" s="3"/>
      <c r="U524" s="4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spans="1:47" ht="16.2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4"/>
      <c r="S525" s="3"/>
      <c r="T525" s="3"/>
      <c r="U525" s="4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spans="1:47" ht="16.2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4"/>
      <c r="S526" s="3"/>
      <c r="T526" s="3"/>
      <c r="U526" s="4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spans="1:47" ht="16.2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4"/>
      <c r="S527" s="3"/>
      <c r="T527" s="3"/>
      <c r="U527" s="4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spans="1:47" ht="16.2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4"/>
      <c r="S528" s="3"/>
      <c r="T528" s="3"/>
      <c r="U528" s="4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spans="1:47" ht="16.2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4"/>
      <c r="S529" s="3"/>
      <c r="T529" s="3"/>
      <c r="U529" s="4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spans="1:47" ht="16.2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4"/>
      <c r="S530" s="3"/>
      <c r="T530" s="3"/>
      <c r="U530" s="4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spans="1:47" ht="16.2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4"/>
      <c r="S531" s="3"/>
      <c r="T531" s="3"/>
      <c r="U531" s="4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spans="1:47" ht="16.2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4"/>
      <c r="S532" s="3"/>
      <c r="T532" s="3"/>
      <c r="U532" s="4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spans="1:47" ht="16.2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4"/>
      <c r="S533" s="3"/>
      <c r="T533" s="3"/>
      <c r="U533" s="4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spans="1:47" ht="16.2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4"/>
      <c r="S534" s="3"/>
      <c r="T534" s="3"/>
      <c r="U534" s="4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spans="1:47" ht="16.2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4"/>
      <c r="S535" s="3"/>
      <c r="T535" s="3"/>
      <c r="U535" s="4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spans="1:47" ht="16.2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4"/>
      <c r="S536" s="3"/>
      <c r="T536" s="3"/>
      <c r="U536" s="4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spans="1:47" ht="16.2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4"/>
      <c r="S537" s="3"/>
      <c r="T537" s="3"/>
      <c r="U537" s="4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spans="1:47" ht="16.2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4"/>
      <c r="S538" s="3"/>
      <c r="T538" s="3"/>
      <c r="U538" s="4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spans="1:47" ht="16.2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4"/>
      <c r="S539" s="3"/>
      <c r="T539" s="3"/>
      <c r="U539" s="4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spans="1:47" ht="16.2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4"/>
      <c r="S540" s="3"/>
      <c r="T540" s="3"/>
      <c r="U540" s="4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spans="1:47" ht="16.2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4"/>
      <c r="S541" s="3"/>
      <c r="T541" s="3"/>
      <c r="U541" s="4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spans="1:47" ht="16.2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4"/>
      <c r="S542" s="3"/>
      <c r="T542" s="3"/>
      <c r="U542" s="4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spans="1:47" ht="16.2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4"/>
      <c r="S543" s="3"/>
      <c r="T543" s="3"/>
      <c r="U543" s="4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spans="1:47" ht="16.2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4"/>
      <c r="S544" s="3"/>
      <c r="T544" s="3"/>
      <c r="U544" s="4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spans="1:47" ht="16.2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4"/>
      <c r="S545" s="3"/>
      <c r="T545" s="3"/>
      <c r="U545" s="4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spans="1:47" ht="16.2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4"/>
      <c r="S546" s="3"/>
      <c r="T546" s="3"/>
      <c r="U546" s="4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spans="1:47" ht="16.2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4"/>
      <c r="S547" s="3"/>
      <c r="T547" s="3"/>
      <c r="U547" s="4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spans="1:47" ht="16.2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4"/>
      <c r="S548" s="3"/>
      <c r="T548" s="3"/>
      <c r="U548" s="4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spans="1:47" ht="16.2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4"/>
      <c r="S549" s="3"/>
      <c r="T549" s="3"/>
      <c r="U549" s="4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spans="1:47" ht="16.2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4"/>
      <c r="S550" s="3"/>
      <c r="T550" s="3"/>
      <c r="U550" s="4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spans="1:47" ht="16.2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4"/>
      <c r="S551" s="3"/>
      <c r="T551" s="3"/>
      <c r="U551" s="4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spans="1:47" ht="16.2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4"/>
      <c r="S552" s="3"/>
      <c r="T552" s="3"/>
      <c r="U552" s="4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spans="1:47" ht="16.2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4"/>
      <c r="S553" s="3"/>
      <c r="T553" s="3"/>
      <c r="U553" s="4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spans="1:47" ht="16.2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4"/>
      <c r="S554" s="3"/>
      <c r="T554" s="3"/>
      <c r="U554" s="4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spans="1:47" ht="16.2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4"/>
      <c r="S555" s="3"/>
      <c r="T555" s="3"/>
      <c r="U555" s="4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spans="1:47" ht="16.2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4"/>
      <c r="S556" s="3"/>
      <c r="T556" s="3"/>
      <c r="U556" s="4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spans="1:47" ht="16.2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4"/>
      <c r="S557" s="3"/>
      <c r="T557" s="3"/>
      <c r="U557" s="4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spans="1:47" ht="16.2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4"/>
      <c r="S558" s="3"/>
      <c r="T558" s="3"/>
      <c r="U558" s="4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spans="1:47" ht="16.2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4"/>
      <c r="S559" s="3"/>
      <c r="T559" s="3"/>
      <c r="U559" s="4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spans="1:47" ht="16.2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4"/>
      <c r="S560" s="3"/>
      <c r="T560" s="3"/>
      <c r="U560" s="4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spans="1:47" ht="16.2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4"/>
      <c r="S561" s="3"/>
      <c r="T561" s="3"/>
      <c r="U561" s="4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spans="1:47" ht="16.2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4"/>
      <c r="S562" s="3"/>
      <c r="T562" s="3"/>
      <c r="U562" s="4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spans="1:47" ht="16.2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4"/>
      <c r="S563" s="3"/>
      <c r="T563" s="3"/>
      <c r="U563" s="4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spans="1:47" ht="16.2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4"/>
      <c r="S564" s="3"/>
      <c r="T564" s="3"/>
      <c r="U564" s="4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spans="1:47" ht="16.2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4"/>
      <c r="S565" s="3"/>
      <c r="T565" s="3"/>
      <c r="U565" s="4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spans="1:47" ht="16.2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4"/>
      <c r="S566" s="3"/>
      <c r="T566" s="3"/>
      <c r="U566" s="4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spans="1:47" ht="16.2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4"/>
      <c r="S567" s="3"/>
      <c r="T567" s="3"/>
      <c r="U567" s="4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spans="1:47" ht="16.2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4"/>
      <c r="S568" s="3"/>
      <c r="T568" s="3"/>
      <c r="U568" s="4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spans="1:47" ht="16.2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4"/>
      <c r="S569" s="3"/>
      <c r="T569" s="3"/>
      <c r="U569" s="4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spans="1:47" ht="16.2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4"/>
      <c r="S570" s="3"/>
      <c r="T570" s="3"/>
      <c r="U570" s="4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spans="1:47" ht="16.2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4"/>
      <c r="S571" s="3"/>
      <c r="T571" s="3"/>
      <c r="U571" s="4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spans="1:47" ht="16.2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4"/>
      <c r="S572" s="3"/>
      <c r="T572" s="3"/>
      <c r="U572" s="4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spans="1:47" ht="16.2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4"/>
      <c r="S573" s="3"/>
      <c r="T573" s="3"/>
      <c r="U573" s="4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spans="1:47" ht="16.2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4"/>
      <c r="S574" s="3"/>
      <c r="T574" s="3"/>
      <c r="U574" s="4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spans="1:47" ht="16.2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4"/>
      <c r="S575" s="3"/>
      <c r="T575" s="3"/>
      <c r="U575" s="4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spans="1:47" ht="16.2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4"/>
      <c r="S576" s="3"/>
      <c r="T576" s="3"/>
      <c r="U576" s="4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spans="1:47" ht="16.2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4"/>
      <c r="S577" s="3"/>
      <c r="T577" s="3"/>
      <c r="U577" s="4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spans="1:47" ht="16.2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4"/>
      <c r="S578" s="3"/>
      <c r="T578" s="3"/>
      <c r="U578" s="4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spans="1:47" ht="16.2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4"/>
      <c r="S579" s="3"/>
      <c r="T579" s="3"/>
      <c r="U579" s="4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spans="1:47" ht="16.2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4"/>
      <c r="S580" s="3"/>
      <c r="T580" s="3"/>
      <c r="U580" s="4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spans="1:47" ht="16.2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4"/>
      <c r="S581" s="3"/>
      <c r="T581" s="3"/>
      <c r="U581" s="4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spans="1:47" ht="16.2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4"/>
      <c r="S582" s="3"/>
      <c r="T582" s="3"/>
      <c r="U582" s="4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spans="1:47" ht="16.2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4"/>
      <c r="S583" s="3"/>
      <c r="T583" s="3"/>
      <c r="U583" s="4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spans="1:47" ht="16.2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4"/>
      <c r="S584" s="3"/>
      <c r="T584" s="3"/>
      <c r="U584" s="4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spans="1:47" ht="16.2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4"/>
      <c r="S585" s="3"/>
      <c r="T585" s="3"/>
      <c r="U585" s="4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spans="1:47" ht="16.2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4"/>
      <c r="S586" s="3"/>
      <c r="T586" s="3"/>
      <c r="U586" s="4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spans="1:47" ht="16.2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4"/>
      <c r="S587" s="3"/>
      <c r="T587" s="3"/>
      <c r="U587" s="4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spans="1:47" ht="16.2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4"/>
      <c r="S588" s="3"/>
      <c r="T588" s="3"/>
      <c r="U588" s="4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spans="1:47" ht="16.2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4"/>
      <c r="S589" s="3"/>
      <c r="T589" s="3"/>
      <c r="U589" s="4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spans="1:47" ht="16.2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4"/>
      <c r="S590" s="3"/>
      <c r="T590" s="3"/>
      <c r="U590" s="4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spans="1:47" ht="16.2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4"/>
      <c r="S591" s="3"/>
      <c r="T591" s="3"/>
      <c r="U591" s="4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spans="1:47" ht="16.2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4"/>
      <c r="S592" s="3"/>
      <c r="T592" s="3"/>
      <c r="U592" s="4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spans="1:47" ht="16.2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4"/>
      <c r="S593" s="3"/>
      <c r="T593" s="3"/>
      <c r="U593" s="4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spans="1:47" ht="16.2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4"/>
      <c r="S594" s="3"/>
      <c r="T594" s="3"/>
      <c r="U594" s="4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spans="1:47" ht="16.2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4"/>
      <c r="S595" s="3"/>
      <c r="T595" s="3"/>
      <c r="U595" s="4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spans="1:47" ht="16.2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4"/>
      <c r="S596" s="3"/>
      <c r="T596" s="3"/>
      <c r="U596" s="4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spans="1:47" ht="16.2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4"/>
      <c r="S597" s="3"/>
      <c r="T597" s="3"/>
      <c r="U597" s="4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spans="1:47" ht="16.2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4"/>
      <c r="S598" s="3"/>
      <c r="T598" s="3"/>
      <c r="U598" s="4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spans="1:47" ht="16.2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4"/>
      <c r="S599" s="3"/>
      <c r="T599" s="3"/>
      <c r="U599" s="4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spans="1:47" ht="16.2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4"/>
      <c r="S600" s="3"/>
      <c r="T600" s="3"/>
      <c r="U600" s="4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spans="1:47" ht="16.2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4"/>
      <c r="S601" s="3"/>
      <c r="T601" s="3"/>
      <c r="U601" s="4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spans="1:47" ht="16.2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4"/>
      <c r="S602" s="3"/>
      <c r="T602" s="3"/>
      <c r="U602" s="4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spans="1:47" ht="16.2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4"/>
      <c r="S603" s="3"/>
      <c r="T603" s="3"/>
      <c r="U603" s="4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spans="1:47" ht="16.2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4"/>
      <c r="S604" s="3"/>
      <c r="T604" s="3"/>
      <c r="U604" s="4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spans="1:47" ht="16.2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4"/>
      <c r="S605" s="3"/>
      <c r="T605" s="3"/>
      <c r="U605" s="4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spans="1:47" ht="16.2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4"/>
      <c r="S606" s="3"/>
      <c r="T606" s="3"/>
      <c r="U606" s="4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spans="1:47" ht="16.2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4"/>
      <c r="S607" s="3"/>
      <c r="T607" s="3"/>
      <c r="U607" s="4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spans="1:47" ht="16.2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4"/>
      <c r="S608" s="3"/>
      <c r="T608" s="3"/>
      <c r="U608" s="4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spans="1:47" ht="16.2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4"/>
      <c r="S609" s="3"/>
      <c r="T609" s="3"/>
      <c r="U609" s="4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spans="1:47" ht="16.2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4"/>
      <c r="S610" s="3"/>
      <c r="T610" s="3"/>
      <c r="U610" s="4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spans="1:47" ht="16.2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4"/>
      <c r="S611" s="3"/>
      <c r="T611" s="3"/>
      <c r="U611" s="4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spans="1:47" ht="16.2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4"/>
      <c r="S612" s="3"/>
      <c r="T612" s="3"/>
      <c r="U612" s="4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spans="1:47" ht="16.2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4"/>
      <c r="S613" s="3"/>
      <c r="T613" s="3"/>
      <c r="U613" s="4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spans="1:47" ht="16.2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4"/>
      <c r="S614" s="3"/>
      <c r="T614" s="3"/>
      <c r="U614" s="4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spans="1:47" ht="16.2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4"/>
      <c r="S615" s="3"/>
      <c r="T615" s="3"/>
      <c r="U615" s="4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spans="1:47" ht="16.2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4"/>
      <c r="S616" s="3"/>
      <c r="T616" s="3"/>
      <c r="U616" s="4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spans="1:47" ht="16.2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4"/>
      <c r="S617" s="3"/>
      <c r="T617" s="3"/>
      <c r="U617" s="4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spans="1:47" ht="16.2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4"/>
      <c r="S618" s="3"/>
      <c r="T618" s="3"/>
      <c r="U618" s="4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spans="1:47" ht="16.2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4"/>
      <c r="S619" s="3"/>
      <c r="T619" s="3"/>
      <c r="U619" s="4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spans="1:47" ht="16.2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4"/>
      <c r="S620" s="3"/>
      <c r="T620" s="3"/>
      <c r="U620" s="4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spans="1:47" ht="16.2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4"/>
      <c r="S621" s="3"/>
      <c r="T621" s="3"/>
      <c r="U621" s="4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spans="1:47" ht="16.2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4"/>
      <c r="S622" s="3"/>
      <c r="T622" s="3"/>
      <c r="U622" s="4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spans="1:47" ht="16.2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4"/>
      <c r="S623" s="3"/>
      <c r="T623" s="3"/>
      <c r="U623" s="4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spans="1:47" ht="16.2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4"/>
      <c r="S624" s="3"/>
      <c r="T624" s="3"/>
      <c r="U624" s="4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spans="1:47" ht="16.2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4"/>
      <c r="S625" s="3"/>
      <c r="T625" s="3"/>
      <c r="U625" s="4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spans="1:47" ht="16.2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4"/>
      <c r="S626" s="3"/>
      <c r="T626" s="3"/>
      <c r="U626" s="4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spans="1:47" ht="16.2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4"/>
      <c r="S627" s="3"/>
      <c r="T627" s="3"/>
      <c r="U627" s="4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spans="1:47" ht="16.2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4"/>
      <c r="S628" s="3"/>
      <c r="T628" s="3"/>
      <c r="U628" s="4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spans="1:47" ht="16.2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4"/>
      <c r="S629" s="3"/>
      <c r="T629" s="3"/>
      <c r="U629" s="4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spans="1:47" ht="16.2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4"/>
      <c r="S630" s="3"/>
      <c r="T630" s="3"/>
      <c r="U630" s="4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spans="1:47" ht="16.2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4"/>
      <c r="S631" s="3"/>
      <c r="T631" s="3"/>
      <c r="U631" s="4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spans="1:47" ht="16.2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4"/>
      <c r="S632" s="3"/>
      <c r="T632" s="3"/>
      <c r="U632" s="4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spans="1:47" ht="16.2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4"/>
      <c r="S633" s="3"/>
      <c r="T633" s="3"/>
      <c r="U633" s="4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spans="1:47" ht="16.2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4"/>
      <c r="S634" s="3"/>
      <c r="T634" s="3"/>
      <c r="U634" s="4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spans="1:47" ht="16.2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4"/>
      <c r="S635" s="3"/>
      <c r="T635" s="3"/>
      <c r="U635" s="4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spans="1:47" ht="16.2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4"/>
      <c r="S636" s="3"/>
      <c r="T636" s="3"/>
      <c r="U636" s="4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spans="1:47" ht="16.2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4"/>
      <c r="S637" s="3"/>
      <c r="T637" s="3"/>
      <c r="U637" s="4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spans="1:47" ht="16.2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4"/>
      <c r="S638" s="3"/>
      <c r="T638" s="3"/>
      <c r="U638" s="4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spans="1:47" ht="16.2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4"/>
      <c r="S639" s="3"/>
      <c r="T639" s="3"/>
      <c r="U639" s="4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spans="1:47" ht="16.2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4"/>
      <c r="S640" s="3"/>
      <c r="T640" s="3"/>
      <c r="U640" s="4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spans="1:47" ht="16.2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4"/>
      <c r="S641" s="3"/>
      <c r="T641" s="3"/>
      <c r="U641" s="4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spans="1:47" ht="16.2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4"/>
      <c r="S642" s="3"/>
      <c r="T642" s="3"/>
      <c r="U642" s="4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spans="1:47" ht="16.2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4"/>
      <c r="S643" s="3"/>
      <c r="T643" s="3"/>
      <c r="U643" s="4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spans="1:47" ht="16.2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4"/>
      <c r="S644" s="3"/>
      <c r="T644" s="3"/>
      <c r="U644" s="4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spans="1:47" ht="16.2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4"/>
      <c r="S645" s="3"/>
      <c r="T645" s="3"/>
      <c r="U645" s="4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spans="1:47" ht="16.2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4"/>
      <c r="S646" s="3"/>
      <c r="T646" s="3"/>
      <c r="U646" s="4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spans="1:47" ht="16.2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4"/>
      <c r="S647" s="3"/>
      <c r="T647" s="3"/>
      <c r="U647" s="4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spans="1:47" ht="16.2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4"/>
      <c r="S648" s="3"/>
      <c r="T648" s="3"/>
      <c r="U648" s="4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spans="1:47" ht="16.2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4"/>
      <c r="S649" s="3"/>
      <c r="T649" s="3"/>
      <c r="U649" s="4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spans="1:47" ht="16.2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4"/>
      <c r="S650" s="3"/>
      <c r="T650" s="3"/>
      <c r="U650" s="4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spans="1:47" ht="16.2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4"/>
      <c r="S651" s="3"/>
      <c r="T651" s="3"/>
      <c r="U651" s="4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spans="1:47" ht="16.2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4"/>
      <c r="S652" s="3"/>
      <c r="T652" s="3"/>
      <c r="U652" s="4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spans="1:47" ht="16.2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4"/>
      <c r="S653" s="3"/>
      <c r="T653" s="3"/>
      <c r="U653" s="4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spans="1:47" ht="16.2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4"/>
      <c r="S654" s="3"/>
      <c r="T654" s="3"/>
      <c r="U654" s="4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spans="1:47" ht="16.2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4"/>
      <c r="S655" s="3"/>
      <c r="T655" s="3"/>
      <c r="U655" s="4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spans="1:47" ht="16.2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4"/>
      <c r="S656" s="3"/>
      <c r="T656" s="3"/>
      <c r="U656" s="4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spans="1:47" ht="16.2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4"/>
      <c r="S657" s="3"/>
      <c r="T657" s="3"/>
      <c r="U657" s="4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spans="1:47" ht="16.2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4"/>
      <c r="S658" s="3"/>
      <c r="T658" s="3"/>
      <c r="U658" s="4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spans="1:47" ht="16.2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4"/>
      <c r="S659" s="3"/>
      <c r="T659" s="3"/>
      <c r="U659" s="4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spans="1:47" ht="16.2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4"/>
      <c r="S660" s="3"/>
      <c r="T660" s="3"/>
      <c r="U660" s="4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spans="1:47" ht="16.2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4"/>
      <c r="S661" s="3"/>
      <c r="T661" s="3"/>
      <c r="U661" s="4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spans="1:47" ht="16.2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4"/>
      <c r="S662" s="3"/>
      <c r="T662" s="3"/>
      <c r="U662" s="4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spans="1:47" ht="16.2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4"/>
      <c r="S663" s="3"/>
      <c r="T663" s="3"/>
      <c r="U663" s="4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spans="1:47" ht="16.2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4"/>
      <c r="S664" s="3"/>
      <c r="T664" s="3"/>
      <c r="U664" s="4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spans="1:47" ht="16.2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4"/>
      <c r="S665" s="3"/>
      <c r="T665" s="3"/>
      <c r="U665" s="4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spans="1:47" ht="16.2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4"/>
      <c r="S666" s="3"/>
      <c r="T666" s="3"/>
      <c r="U666" s="4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spans="1:47" ht="16.2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4"/>
      <c r="S667" s="3"/>
      <c r="T667" s="3"/>
      <c r="U667" s="4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spans="1:47" ht="16.2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4"/>
      <c r="S668" s="3"/>
      <c r="T668" s="3"/>
      <c r="U668" s="4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spans="1:47" ht="16.2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4"/>
      <c r="S669" s="3"/>
      <c r="T669" s="3"/>
      <c r="U669" s="4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spans="1:47" ht="16.2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4"/>
      <c r="S670" s="3"/>
      <c r="T670" s="3"/>
      <c r="U670" s="4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spans="1:47" ht="16.2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4"/>
      <c r="S671" s="3"/>
      <c r="T671" s="3"/>
      <c r="U671" s="4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spans="1:47" ht="16.2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4"/>
      <c r="S672" s="3"/>
      <c r="T672" s="3"/>
      <c r="U672" s="4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spans="1:47" ht="16.2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4"/>
      <c r="S673" s="3"/>
      <c r="T673" s="3"/>
      <c r="U673" s="4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spans="1:47" ht="16.2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4"/>
      <c r="S674" s="3"/>
      <c r="T674" s="3"/>
      <c r="U674" s="4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spans="1:47" ht="16.2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4"/>
      <c r="S675" s="3"/>
      <c r="T675" s="3"/>
      <c r="U675" s="4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spans="1:47" ht="16.2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4"/>
      <c r="S676" s="3"/>
      <c r="T676" s="3"/>
      <c r="U676" s="4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spans="1:47" ht="16.2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4"/>
      <c r="S677" s="3"/>
      <c r="T677" s="3"/>
      <c r="U677" s="4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spans="1:47" ht="16.2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4"/>
      <c r="S678" s="3"/>
      <c r="T678" s="3"/>
      <c r="U678" s="4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spans="1:47" ht="16.2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4"/>
      <c r="S679" s="3"/>
      <c r="T679" s="3"/>
      <c r="U679" s="4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spans="1:47" ht="16.2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4"/>
      <c r="S680" s="3"/>
      <c r="T680" s="3"/>
      <c r="U680" s="4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spans="1:47" ht="16.2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4"/>
      <c r="S681" s="3"/>
      <c r="T681" s="3"/>
      <c r="U681" s="4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spans="1:47" ht="16.2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4"/>
      <c r="S682" s="3"/>
      <c r="T682" s="3"/>
      <c r="U682" s="4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spans="1:47" ht="16.2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4"/>
      <c r="S683" s="3"/>
      <c r="T683" s="3"/>
      <c r="U683" s="4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spans="1:47" ht="16.2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4"/>
      <c r="S684" s="3"/>
      <c r="T684" s="3"/>
      <c r="U684" s="4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spans="1:47" ht="16.2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4"/>
      <c r="S685" s="3"/>
      <c r="T685" s="3"/>
      <c r="U685" s="4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spans="1:47" ht="16.2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4"/>
      <c r="S686" s="3"/>
      <c r="T686" s="3"/>
      <c r="U686" s="4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spans="1:47" ht="16.2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4"/>
      <c r="S687" s="3"/>
      <c r="T687" s="3"/>
      <c r="U687" s="4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spans="1:47" ht="16.2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4"/>
      <c r="S688" s="3"/>
      <c r="T688" s="3"/>
      <c r="U688" s="4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spans="1:47" ht="16.2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4"/>
      <c r="S689" s="3"/>
      <c r="T689" s="3"/>
      <c r="U689" s="4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spans="1:47" ht="16.2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4"/>
      <c r="S690" s="3"/>
      <c r="T690" s="3"/>
      <c r="U690" s="4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spans="1:47" ht="16.2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4"/>
      <c r="S691" s="3"/>
      <c r="T691" s="3"/>
      <c r="U691" s="4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spans="1:47" ht="16.2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4"/>
      <c r="S692" s="3"/>
      <c r="T692" s="3"/>
      <c r="U692" s="4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spans="1:47" ht="16.2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4"/>
      <c r="S693" s="3"/>
      <c r="T693" s="3"/>
      <c r="U693" s="4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spans="1:47" ht="16.2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4"/>
      <c r="S694" s="3"/>
      <c r="T694" s="3"/>
      <c r="U694" s="4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spans="1:47" ht="16.2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4"/>
      <c r="S695" s="3"/>
      <c r="T695" s="3"/>
      <c r="U695" s="4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spans="1:47" ht="16.2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4"/>
      <c r="S696" s="3"/>
      <c r="T696" s="3"/>
      <c r="U696" s="4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spans="1:47" ht="16.2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4"/>
      <c r="S697" s="3"/>
      <c r="T697" s="3"/>
      <c r="U697" s="4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spans="1:47" ht="16.2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4"/>
      <c r="S698" s="3"/>
      <c r="T698" s="3"/>
      <c r="U698" s="4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spans="1:47" ht="16.2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4"/>
      <c r="S699" s="3"/>
      <c r="T699" s="3"/>
      <c r="U699" s="4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spans="1:47" ht="16.2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4"/>
      <c r="S700" s="3"/>
      <c r="T700" s="3"/>
      <c r="U700" s="4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spans="1:47" ht="16.2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4"/>
      <c r="S701" s="3"/>
      <c r="T701" s="3"/>
      <c r="U701" s="4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spans="1:47" ht="16.2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4"/>
      <c r="S702" s="3"/>
      <c r="T702" s="3"/>
      <c r="U702" s="4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spans="1:47" ht="16.2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4"/>
      <c r="S703" s="3"/>
      <c r="T703" s="3"/>
      <c r="U703" s="4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spans="1:47" ht="16.2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4"/>
      <c r="S704" s="3"/>
      <c r="T704" s="3"/>
      <c r="U704" s="4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spans="1:47" ht="16.2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4"/>
      <c r="S705" s="3"/>
      <c r="T705" s="3"/>
      <c r="U705" s="4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spans="1:47" ht="16.2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4"/>
      <c r="S706" s="3"/>
      <c r="T706" s="3"/>
      <c r="U706" s="4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spans="1:47" ht="16.2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4"/>
      <c r="S707" s="3"/>
      <c r="T707" s="3"/>
      <c r="U707" s="4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spans="1:47" ht="16.2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4"/>
      <c r="S708" s="3"/>
      <c r="T708" s="3"/>
      <c r="U708" s="4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spans="1:47" ht="16.2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4"/>
      <c r="S709" s="3"/>
      <c r="T709" s="3"/>
      <c r="U709" s="4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spans="1:47" ht="16.2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4"/>
      <c r="S710" s="3"/>
      <c r="T710" s="3"/>
      <c r="U710" s="4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spans="1:47" ht="16.2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4"/>
      <c r="S711" s="3"/>
      <c r="T711" s="3"/>
      <c r="U711" s="4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spans="1:47" ht="16.2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4"/>
      <c r="S712" s="3"/>
      <c r="T712" s="3"/>
      <c r="U712" s="4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spans="1:47" ht="16.2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4"/>
      <c r="S713" s="3"/>
      <c r="T713" s="3"/>
      <c r="U713" s="4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spans="1:47" ht="16.2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4"/>
      <c r="S714" s="3"/>
      <c r="T714" s="3"/>
      <c r="U714" s="4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spans="1:47" ht="16.2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4"/>
      <c r="S715" s="3"/>
      <c r="T715" s="3"/>
      <c r="U715" s="4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spans="1:47" ht="16.2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4"/>
      <c r="S716" s="3"/>
      <c r="T716" s="3"/>
      <c r="U716" s="4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spans="1:47" ht="16.2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4"/>
      <c r="S717" s="3"/>
      <c r="T717" s="3"/>
      <c r="U717" s="4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spans="1:47" ht="16.2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4"/>
      <c r="S718" s="3"/>
      <c r="T718" s="3"/>
      <c r="U718" s="4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spans="1:47" ht="16.2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4"/>
      <c r="S719" s="3"/>
      <c r="T719" s="3"/>
      <c r="U719" s="4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spans="1:47" ht="16.2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4"/>
      <c r="S720" s="3"/>
      <c r="T720" s="3"/>
      <c r="U720" s="4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spans="1:47" ht="16.2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4"/>
      <c r="S721" s="3"/>
      <c r="T721" s="3"/>
      <c r="U721" s="4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spans="1:47" ht="16.2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4"/>
      <c r="S722" s="3"/>
      <c r="T722" s="3"/>
      <c r="U722" s="4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spans="1:47" ht="16.2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4"/>
      <c r="S723" s="3"/>
      <c r="T723" s="3"/>
      <c r="U723" s="4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spans="1:47" ht="16.2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4"/>
      <c r="S724" s="3"/>
      <c r="T724" s="3"/>
      <c r="U724" s="4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spans="1:47" ht="16.2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4"/>
      <c r="S725" s="3"/>
      <c r="T725" s="3"/>
      <c r="U725" s="4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spans="1:47" ht="16.2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4"/>
      <c r="S726" s="3"/>
      <c r="T726" s="3"/>
      <c r="U726" s="4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spans="1:47" ht="16.2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4"/>
      <c r="S727" s="3"/>
      <c r="T727" s="3"/>
      <c r="U727" s="4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spans="1:47" ht="16.2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4"/>
      <c r="S728" s="3"/>
      <c r="T728" s="3"/>
      <c r="U728" s="4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spans="1:47" ht="16.2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4"/>
      <c r="S729" s="3"/>
      <c r="T729" s="3"/>
      <c r="U729" s="4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spans="1:47" ht="16.2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4"/>
      <c r="S730" s="3"/>
      <c r="T730" s="3"/>
      <c r="U730" s="4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spans="1:47" ht="16.2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4"/>
      <c r="S731" s="3"/>
      <c r="T731" s="3"/>
      <c r="U731" s="4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spans="1:47" ht="16.2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4"/>
      <c r="S732" s="3"/>
      <c r="T732" s="3"/>
      <c r="U732" s="4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spans="1:47" ht="16.2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4"/>
      <c r="S733" s="3"/>
      <c r="T733" s="3"/>
      <c r="U733" s="4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spans="1:47" ht="16.2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4"/>
      <c r="S734" s="3"/>
      <c r="T734" s="3"/>
      <c r="U734" s="4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spans="1:47" ht="16.2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4"/>
      <c r="S735" s="3"/>
      <c r="T735" s="3"/>
      <c r="U735" s="4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spans="1:47" ht="16.2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4"/>
      <c r="S736" s="3"/>
      <c r="T736" s="3"/>
      <c r="U736" s="4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spans="1:47" ht="16.2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4"/>
      <c r="S737" s="3"/>
      <c r="T737" s="3"/>
      <c r="U737" s="4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spans="1:47" ht="16.2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4"/>
      <c r="S738" s="3"/>
      <c r="T738" s="3"/>
      <c r="U738" s="4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spans="1:47" ht="16.2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4"/>
      <c r="S739" s="3"/>
      <c r="T739" s="3"/>
      <c r="U739" s="4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spans="1:47" ht="16.2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4"/>
      <c r="S740" s="3"/>
      <c r="T740" s="3"/>
      <c r="U740" s="4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spans="1:47" ht="16.2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4"/>
      <c r="S741" s="3"/>
      <c r="T741" s="3"/>
      <c r="U741" s="4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spans="1:47" ht="16.2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4"/>
      <c r="S742" s="3"/>
      <c r="T742" s="3"/>
      <c r="U742" s="4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spans="1:47" ht="16.2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4"/>
      <c r="S743" s="3"/>
      <c r="T743" s="3"/>
      <c r="U743" s="4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spans="1:47" ht="16.2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4"/>
      <c r="S744" s="3"/>
      <c r="T744" s="3"/>
      <c r="U744" s="4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spans="1:47" ht="16.2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4"/>
      <c r="S745" s="3"/>
      <c r="T745" s="3"/>
      <c r="U745" s="4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spans="1:47" ht="16.2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4"/>
      <c r="S746" s="3"/>
      <c r="T746" s="3"/>
      <c r="U746" s="4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spans="1:47" ht="16.2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4"/>
      <c r="S747" s="3"/>
      <c r="T747" s="3"/>
      <c r="U747" s="4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spans="1:47" ht="16.2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4"/>
      <c r="S748" s="3"/>
      <c r="T748" s="3"/>
      <c r="U748" s="4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spans="1:47" ht="16.2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4"/>
      <c r="S749" s="3"/>
      <c r="T749" s="3"/>
      <c r="U749" s="4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spans="1:47" ht="16.2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4"/>
      <c r="S750" s="3"/>
      <c r="T750" s="3"/>
      <c r="U750" s="4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spans="1:47" ht="16.2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4"/>
      <c r="S751" s="3"/>
      <c r="T751" s="3"/>
      <c r="U751" s="4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spans="1:47" ht="16.2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4"/>
      <c r="S752" s="3"/>
      <c r="T752" s="3"/>
      <c r="U752" s="4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spans="1:47" ht="16.2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4"/>
      <c r="S753" s="3"/>
      <c r="T753" s="3"/>
      <c r="U753" s="4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spans="1:47" ht="16.2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4"/>
      <c r="S754" s="3"/>
      <c r="T754" s="3"/>
      <c r="U754" s="4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spans="1:47" ht="16.2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4"/>
      <c r="S755" s="3"/>
      <c r="T755" s="3"/>
      <c r="U755" s="4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spans="1:47" ht="16.2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4"/>
      <c r="S756" s="3"/>
      <c r="T756" s="3"/>
      <c r="U756" s="4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spans="1:47" ht="16.2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4"/>
      <c r="S757" s="3"/>
      <c r="T757" s="3"/>
      <c r="U757" s="4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spans="1:47" ht="16.2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4"/>
      <c r="S758" s="3"/>
      <c r="T758" s="3"/>
      <c r="U758" s="4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spans="1:47" ht="16.2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4"/>
      <c r="S759" s="3"/>
      <c r="T759" s="3"/>
      <c r="U759" s="4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spans="1:47" ht="16.2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4"/>
      <c r="S760" s="3"/>
      <c r="T760" s="3"/>
      <c r="U760" s="4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spans="1:47" ht="16.2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4"/>
      <c r="S761" s="3"/>
      <c r="T761" s="3"/>
      <c r="U761" s="4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spans="1:47" ht="16.2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4"/>
      <c r="S762" s="3"/>
      <c r="T762" s="3"/>
      <c r="U762" s="4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spans="1:47" ht="16.2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4"/>
      <c r="S763" s="3"/>
      <c r="T763" s="3"/>
      <c r="U763" s="4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spans="1:47" ht="16.2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4"/>
      <c r="S764" s="3"/>
      <c r="T764" s="3"/>
      <c r="U764" s="4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spans="1:47" ht="16.2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4"/>
      <c r="S765" s="3"/>
      <c r="T765" s="3"/>
      <c r="U765" s="4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spans="1:47" ht="16.2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4"/>
      <c r="S766" s="3"/>
      <c r="T766" s="3"/>
      <c r="U766" s="4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spans="1:47" ht="16.2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4"/>
      <c r="S767" s="3"/>
      <c r="T767" s="3"/>
      <c r="U767" s="4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spans="1:47" ht="16.2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4"/>
      <c r="S768" s="3"/>
      <c r="T768" s="3"/>
      <c r="U768" s="4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spans="1:47" ht="16.2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4"/>
      <c r="S769" s="3"/>
      <c r="T769" s="3"/>
      <c r="U769" s="4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spans="1:47" ht="16.2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4"/>
      <c r="S770" s="3"/>
      <c r="T770" s="3"/>
      <c r="U770" s="4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spans="1:47" ht="16.2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4"/>
      <c r="S771" s="3"/>
      <c r="T771" s="3"/>
      <c r="U771" s="4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spans="1:47" ht="16.2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4"/>
      <c r="S772" s="3"/>
      <c r="T772" s="3"/>
      <c r="U772" s="4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spans="1:47" ht="16.2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4"/>
      <c r="S773" s="3"/>
      <c r="T773" s="3"/>
      <c r="U773" s="4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spans="1:47" ht="16.2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4"/>
      <c r="S774" s="3"/>
      <c r="T774" s="3"/>
      <c r="U774" s="4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spans="1:47" ht="16.2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4"/>
      <c r="S775" s="3"/>
      <c r="T775" s="3"/>
      <c r="U775" s="4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spans="1:47" ht="16.2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4"/>
      <c r="S776" s="3"/>
      <c r="T776" s="3"/>
      <c r="U776" s="4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spans="1:47" ht="16.2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4"/>
      <c r="S777" s="3"/>
      <c r="T777" s="3"/>
      <c r="U777" s="4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spans="1:47" ht="16.2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4"/>
      <c r="S778" s="3"/>
      <c r="T778" s="3"/>
      <c r="U778" s="4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spans="1:47" ht="16.2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4"/>
      <c r="S779" s="3"/>
      <c r="T779" s="3"/>
      <c r="U779" s="4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spans="1:47" ht="16.2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4"/>
      <c r="S780" s="3"/>
      <c r="T780" s="3"/>
      <c r="U780" s="4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spans="1:47" ht="16.2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4"/>
      <c r="S781" s="3"/>
      <c r="T781" s="3"/>
      <c r="U781" s="4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spans="1:47" ht="16.2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4"/>
      <c r="S782" s="3"/>
      <c r="T782" s="3"/>
      <c r="U782" s="4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spans="1:47" ht="16.2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4"/>
      <c r="S783" s="3"/>
      <c r="T783" s="3"/>
      <c r="U783" s="4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spans="1:47" ht="16.2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4"/>
      <c r="S784" s="3"/>
      <c r="T784" s="3"/>
      <c r="U784" s="4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spans="1:47" ht="16.2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4"/>
      <c r="S785" s="3"/>
      <c r="T785" s="3"/>
      <c r="U785" s="4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spans="1:47" ht="16.2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4"/>
      <c r="S786" s="3"/>
      <c r="T786" s="3"/>
      <c r="U786" s="4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spans="1:47" ht="16.2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4"/>
      <c r="S787" s="3"/>
      <c r="T787" s="3"/>
      <c r="U787" s="4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spans="1:47" ht="16.2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4"/>
      <c r="S788" s="3"/>
      <c r="T788" s="3"/>
      <c r="U788" s="4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spans="1:47" ht="16.2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4"/>
      <c r="S789" s="3"/>
      <c r="T789" s="3"/>
      <c r="U789" s="4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spans="1:47" ht="16.2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4"/>
      <c r="S790" s="3"/>
      <c r="T790" s="3"/>
      <c r="U790" s="4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spans="1:47" ht="16.2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4"/>
      <c r="S791" s="3"/>
      <c r="T791" s="3"/>
      <c r="U791" s="4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spans="1:47" ht="16.2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4"/>
      <c r="S792" s="3"/>
      <c r="T792" s="3"/>
      <c r="U792" s="4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spans="1:47" ht="16.2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4"/>
      <c r="S793" s="3"/>
      <c r="T793" s="3"/>
      <c r="U793" s="4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spans="1:47" ht="16.2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4"/>
      <c r="S794" s="3"/>
      <c r="T794" s="3"/>
      <c r="U794" s="4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spans="1:47" ht="16.2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4"/>
      <c r="S795" s="3"/>
      <c r="T795" s="3"/>
      <c r="U795" s="4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spans="1:47" ht="16.2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4"/>
      <c r="S796" s="3"/>
      <c r="T796" s="3"/>
      <c r="U796" s="4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spans="1:47" ht="16.2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4"/>
      <c r="S797" s="3"/>
      <c r="T797" s="3"/>
      <c r="U797" s="4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spans="1:47" ht="16.2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4"/>
      <c r="S798" s="3"/>
      <c r="T798" s="3"/>
      <c r="U798" s="4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spans="1:47" ht="16.2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4"/>
      <c r="S799" s="3"/>
      <c r="T799" s="3"/>
      <c r="U799" s="4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spans="1:47" ht="16.2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4"/>
      <c r="S800" s="3"/>
      <c r="T800" s="3"/>
      <c r="U800" s="4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spans="1:47" ht="16.2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4"/>
      <c r="S801" s="3"/>
      <c r="T801" s="3"/>
      <c r="U801" s="4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spans="1:47" ht="16.2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4"/>
      <c r="S802" s="3"/>
      <c r="T802" s="3"/>
      <c r="U802" s="4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spans="1:47" ht="16.2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4"/>
      <c r="S803" s="3"/>
      <c r="T803" s="3"/>
      <c r="U803" s="4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spans="1:47" ht="16.2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4"/>
      <c r="S804" s="3"/>
      <c r="T804" s="3"/>
      <c r="U804" s="4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spans="1:47" ht="16.2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4"/>
      <c r="S805" s="3"/>
      <c r="T805" s="3"/>
      <c r="U805" s="4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spans="1:47" ht="16.2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4"/>
      <c r="S806" s="3"/>
      <c r="T806" s="3"/>
      <c r="U806" s="4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spans="1:47" ht="16.2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4"/>
      <c r="S807" s="3"/>
      <c r="T807" s="3"/>
      <c r="U807" s="4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spans="1:47" ht="16.2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4"/>
      <c r="S808" s="3"/>
      <c r="T808" s="3"/>
      <c r="U808" s="4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spans="1:47" ht="16.2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4"/>
      <c r="S809" s="3"/>
      <c r="T809" s="3"/>
      <c r="U809" s="4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spans="1:47" ht="16.2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4"/>
      <c r="S810" s="3"/>
      <c r="T810" s="3"/>
      <c r="U810" s="4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spans="1:47" ht="16.2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4"/>
      <c r="S811" s="3"/>
      <c r="T811" s="3"/>
      <c r="U811" s="4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spans="1:47" ht="16.2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4"/>
      <c r="S812" s="3"/>
      <c r="T812" s="3"/>
      <c r="U812" s="4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spans="1:47" ht="16.2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4"/>
      <c r="S813" s="3"/>
      <c r="T813" s="3"/>
      <c r="U813" s="4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spans="1:47" ht="16.2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4"/>
      <c r="S814" s="3"/>
      <c r="T814" s="3"/>
      <c r="U814" s="4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spans="1:47" ht="16.2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4"/>
      <c r="S815" s="3"/>
      <c r="T815" s="3"/>
      <c r="U815" s="4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spans="1:47" ht="16.2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4"/>
      <c r="S816" s="3"/>
      <c r="T816" s="3"/>
      <c r="U816" s="4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spans="1:47" ht="16.2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4"/>
      <c r="S817" s="3"/>
      <c r="T817" s="3"/>
      <c r="U817" s="4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spans="1:47" ht="16.2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4"/>
      <c r="S818" s="3"/>
      <c r="T818" s="3"/>
      <c r="U818" s="4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spans="1:47" ht="16.2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4"/>
      <c r="S819" s="3"/>
      <c r="T819" s="3"/>
      <c r="U819" s="4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spans="1:47" ht="16.2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4"/>
      <c r="S820" s="3"/>
      <c r="T820" s="3"/>
      <c r="U820" s="4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spans="1:47" ht="16.2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4"/>
      <c r="S821" s="3"/>
      <c r="T821" s="3"/>
      <c r="U821" s="4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spans="1:47" ht="16.2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4"/>
      <c r="S822" s="3"/>
      <c r="T822" s="3"/>
      <c r="U822" s="4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spans="1:47" ht="16.2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4"/>
      <c r="S823" s="3"/>
      <c r="T823" s="3"/>
      <c r="U823" s="4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spans="1:47" ht="16.2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4"/>
      <c r="S824" s="3"/>
      <c r="T824" s="3"/>
      <c r="U824" s="4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r="825" spans="1:47" ht="16.2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4"/>
      <c r="S825" s="3"/>
      <c r="T825" s="3"/>
      <c r="U825" s="4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r="826" spans="1:47" ht="16.2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4"/>
      <c r="S826" s="3"/>
      <c r="T826" s="3"/>
      <c r="U826" s="4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r="827" spans="1:47" ht="16.2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4"/>
      <c r="S827" s="3"/>
      <c r="T827" s="3"/>
      <c r="U827" s="4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r="828" spans="1:47" ht="16.2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4"/>
      <c r="S828" s="3"/>
      <c r="T828" s="3"/>
      <c r="U828" s="4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r="829" spans="1:47" ht="16.2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4"/>
      <c r="S829" s="3"/>
      <c r="T829" s="3"/>
      <c r="U829" s="4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r="830" spans="1:47" ht="16.2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4"/>
      <c r="S830" s="3"/>
      <c r="T830" s="3"/>
      <c r="U830" s="4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r="831" spans="1:47" ht="16.2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4"/>
      <c r="S831" s="3"/>
      <c r="T831" s="3"/>
      <c r="U831" s="4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r="832" spans="1:47" ht="16.2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4"/>
      <c r="S832" s="3"/>
      <c r="T832" s="3"/>
      <c r="U832" s="4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r="833" spans="1:47" ht="16.2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4"/>
      <c r="S833" s="3"/>
      <c r="T833" s="3"/>
      <c r="U833" s="4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r="834" spans="1:47" ht="16.2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4"/>
      <c r="S834" s="3"/>
      <c r="T834" s="3"/>
      <c r="U834" s="4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r="835" spans="1:47" ht="16.2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4"/>
      <c r="S835" s="3"/>
      <c r="T835" s="3"/>
      <c r="U835" s="4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r="836" spans="1:47" ht="16.2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4"/>
      <c r="S836" s="3"/>
      <c r="T836" s="3"/>
      <c r="U836" s="4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r="837" spans="1:47" ht="16.2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4"/>
      <c r="S837" s="3"/>
      <c r="T837" s="3"/>
      <c r="U837" s="4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r="838" spans="1:47" ht="16.2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4"/>
      <c r="S838" s="3"/>
      <c r="T838" s="3"/>
      <c r="U838" s="4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r="839" spans="1:47" ht="16.2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4"/>
      <c r="S839" s="3"/>
      <c r="T839" s="3"/>
      <c r="U839" s="4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r="840" spans="1:47" ht="16.2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4"/>
      <c r="S840" s="3"/>
      <c r="T840" s="3"/>
      <c r="U840" s="4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r="841" spans="1:47" ht="16.2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4"/>
      <c r="S841" s="3"/>
      <c r="T841" s="3"/>
      <c r="U841" s="4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r="842" spans="1:47" ht="16.2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4"/>
      <c r="S842" s="3"/>
      <c r="T842" s="3"/>
      <c r="U842" s="4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r="843" spans="1:47" ht="16.2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4"/>
      <c r="S843" s="3"/>
      <c r="T843" s="3"/>
      <c r="U843" s="4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r="844" spans="1:47" ht="16.2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4"/>
      <c r="S844" s="3"/>
      <c r="T844" s="3"/>
      <c r="U844" s="4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r="845" spans="1:47" ht="16.2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4"/>
      <c r="S845" s="3"/>
      <c r="T845" s="3"/>
      <c r="U845" s="4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r="846" spans="1:47" ht="16.2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4"/>
      <c r="S846" s="3"/>
      <c r="T846" s="3"/>
      <c r="U846" s="4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r="847" spans="1:47" ht="16.2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4"/>
      <c r="S847" s="3"/>
      <c r="T847" s="3"/>
      <c r="U847" s="4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r="848" spans="1:47" ht="16.2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4"/>
      <c r="S848" s="3"/>
      <c r="T848" s="3"/>
      <c r="U848" s="4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r="849" spans="1:47" ht="16.2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4"/>
      <c r="S849" s="3"/>
      <c r="T849" s="3"/>
      <c r="U849" s="4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r="850" spans="1:47" ht="16.2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4"/>
      <c r="S850" s="3"/>
      <c r="T850" s="3"/>
      <c r="U850" s="4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r="851" spans="1:47" ht="16.2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4"/>
      <c r="S851" s="3"/>
      <c r="T851" s="3"/>
      <c r="U851" s="4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r="852" spans="1:47" ht="16.2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4"/>
      <c r="S852" s="3"/>
      <c r="T852" s="3"/>
      <c r="U852" s="4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r="853" spans="1:47" ht="16.2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4"/>
      <c r="S853" s="3"/>
      <c r="T853" s="3"/>
      <c r="U853" s="4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r="854" spans="1:47" ht="16.2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4"/>
      <c r="S854" s="3"/>
      <c r="T854" s="3"/>
      <c r="U854" s="4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r="855" spans="1:47" ht="16.2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4"/>
      <c r="S855" s="3"/>
      <c r="T855" s="3"/>
      <c r="U855" s="4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r="856" spans="1:47" ht="16.2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4"/>
      <c r="S856" s="3"/>
      <c r="T856" s="3"/>
      <c r="U856" s="4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r="857" spans="1:47" ht="16.2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4"/>
      <c r="S857" s="3"/>
      <c r="T857" s="3"/>
      <c r="U857" s="4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r="858" spans="1:47" ht="16.2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4"/>
      <c r="S858" s="3"/>
      <c r="T858" s="3"/>
      <c r="U858" s="4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r="859" spans="1:47" ht="16.2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4"/>
      <c r="S859" s="3"/>
      <c r="T859" s="3"/>
      <c r="U859" s="4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r="860" spans="1:47" ht="16.2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4"/>
      <c r="S860" s="3"/>
      <c r="T860" s="3"/>
      <c r="U860" s="4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r="861" spans="1:47" ht="16.2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4"/>
      <c r="S861" s="3"/>
      <c r="T861" s="3"/>
      <c r="U861" s="4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r="862" spans="1:47" ht="16.2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4"/>
      <c r="S862" s="3"/>
      <c r="T862" s="3"/>
      <c r="U862" s="4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r="863" spans="1:47" ht="16.2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4"/>
      <c r="S863" s="3"/>
      <c r="T863" s="3"/>
      <c r="U863" s="4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r="864" spans="1:47" ht="16.2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4"/>
      <c r="S864" s="3"/>
      <c r="T864" s="3"/>
      <c r="U864" s="4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r="865" spans="1:47" ht="16.2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4"/>
      <c r="S865" s="3"/>
      <c r="T865" s="3"/>
      <c r="U865" s="4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r="866" spans="1:47" ht="16.2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4"/>
      <c r="S866" s="3"/>
      <c r="T866" s="3"/>
      <c r="U866" s="4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r="867" spans="1:47" ht="16.2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4"/>
      <c r="S867" s="3"/>
      <c r="T867" s="3"/>
      <c r="U867" s="4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r="868" spans="1:47" ht="16.2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4"/>
      <c r="S868" s="3"/>
      <c r="T868" s="3"/>
      <c r="U868" s="4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r="869" spans="1:47" ht="16.2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4"/>
      <c r="S869" s="3"/>
      <c r="T869" s="3"/>
      <c r="U869" s="4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r="870" spans="1:47" ht="16.2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4"/>
      <c r="S870" s="3"/>
      <c r="T870" s="3"/>
      <c r="U870" s="4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r="871" spans="1:47" ht="16.2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4"/>
      <c r="S871" s="3"/>
      <c r="T871" s="3"/>
      <c r="U871" s="4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r="872" spans="1:47" ht="16.2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4"/>
      <c r="S872" s="3"/>
      <c r="T872" s="3"/>
      <c r="U872" s="4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r="873" spans="1:47" ht="16.2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4"/>
      <c r="S873" s="3"/>
      <c r="T873" s="3"/>
      <c r="U873" s="4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r="874" spans="1:47" ht="16.2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4"/>
      <c r="S874" s="3"/>
      <c r="T874" s="3"/>
      <c r="U874" s="4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r="875" spans="1:47" ht="16.2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4"/>
      <c r="S875" s="3"/>
      <c r="T875" s="3"/>
      <c r="U875" s="4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r="876" spans="1:47" ht="16.2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4"/>
      <c r="S876" s="3"/>
      <c r="T876" s="3"/>
      <c r="U876" s="4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r="877" spans="1:47" ht="16.2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4"/>
      <c r="S877" s="3"/>
      <c r="T877" s="3"/>
      <c r="U877" s="4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r="878" spans="1:47" ht="16.2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4"/>
      <c r="S878" s="3"/>
      <c r="T878" s="3"/>
      <c r="U878" s="4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r="879" spans="1:47" ht="16.2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4"/>
      <c r="S879" s="3"/>
      <c r="T879" s="3"/>
      <c r="U879" s="4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r="880" spans="1:47" ht="16.2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4"/>
      <c r="S880" s="3"/>
      <c r="T880" s="3"/>
      <c r="U880" s="4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r="881" spans="1:47" ht="16.2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4"/>
      <c r="S881" s="3"/>
      <c r="T881" s="3"/>
      <c r="U881" s="4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r="882" spans="1:47" ht="16.2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4"/>
      <c r="S882" s="3"/>
      <c r="T882" s="3"/>
      <c r="U882" s="4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r="883" spans="1:47" ht="16.2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4"/>
      <c r="S883" s="3"/>
      <c r="T883" s="3"/>
      <c r="U883" s="4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r="884" spans="1:47" ht="16.2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4"/>
      <c r="S884" s="3"/>
      <c r="T884" s="3"/>
      <c r="U884" s="4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r="885" spans="1:47" ht="16.2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4"/>
      <c r="S885" s="3"/>
      <c r="T885" s="3"/>
      <c r="U885" s="4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r="886" spans="1:47" ht="16.2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4"/>
      <c r="S886" s="3"/>
      <c r="T886" s="3"/>
      <c r="U886" s="4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r="887" spans="1:47" ht="16.2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4"/>
      <c r="S887" s="3"/>
      <c r="T887" s="3"/>
      <c r="U887" s="4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r="888" spans="1:47" ht="16.2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4"/>
      <c r="S888" s="3"/>
      <c r="T888" s="3"/>
      <c r="U888" s="4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r="889" spans="1:47" ht="16.2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4"/>
      <c r="S889" s="3"/>
      <c r="T889" s="3"/>
      <c r="U889" s="4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r="890" spans="1:47" ht="16.2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4"/>
      <c r="S890" s="3"/>
      <c r="T890" s="3"/>
      <c r="U890" s="4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r="891" spans="1:47" ht="16.2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4"/>
      <c r="S891" s="3"/>
      <c r="T891" s="3"/>
      <c r="U891" s="4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r="892" spans="1:47" ht="16.2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4"/>
      <c r="S892" s="3"/>
      <c r="T892" s="3"/>
      <c r="U892" s="4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r="893" spans="1:47" ht="16.2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4"/>
      <c r="S893" s="3"/>
      <c r="T893" s="3"/>
      <c r="U893" s="4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r="894" spans="1:47" ht="16.2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4"/>
      <c r="S894" s="3"/>
      <c r="T894" s="3"/>
      <c r="U894" s="4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r="895" spans="1:47" ht="16.2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4"/>
      <c r="S895" s="3"/>
      <c r="T895" s="3"/>
      <c r="U895" s="4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r="896" spans="1:47" ht="16.2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4"/>
      <c r="S896" s="3"/>
      <c r="T896" s="3"/>
      <c r="U896" s="4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r="897" spans="1:47" ht="16.2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4"/>
      <c r="S897" s="3"/>
      <c r="T897" s="3"/>
      <c r="U897" s="4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r="898" spans="1:47" ht="16.2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4"/>
      <c r="S898" s="3"/>
      <c r="T898" s="3"/>
      <c r="U898" s="4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r="899" spans="1:47" ht="16.2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4"/>
      <c r="S899" s="3"/>
      <c r="T899" s="3"/>
      <c r="U899" s="4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r="900" spans="1:47" ht="16.2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4"/>
      <c r="S900" s="3"/>
      <c r="T900" s="3"/>
      <c r="U900" s="4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r="901" spans="1:47" ht="16.2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4"/>
      <c r="S901" s="3"/>
      <c r="T901" s="3"/>
      <c r="U901" s="4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r="902" spans="1:47" ht="16.2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4"/>
      <c r="S902" s="3"/>
      <c r="T902" s="3"/>
      <c r="U902" s="4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r="903" spans="1:47" ht="16.2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4"/>
      <c r="S903" s="3"/>
      <c r="T903" s="3"/>
      <c r="U903" s="4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r="904" spans="1:47" ht="16.2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4"/>
      <c r="S904" s="3"/>
      <c r="T904" s="3"/>
      <c r="U904" s="4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r="905" spans="1:47" ht="16.2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4"/>
      <c r="S905" s="3"/>
      <c r="T905" s="3"/>
      <c r="U905" s="4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r="906" spans="1:47" ht="16.2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4"/>
      <c r="S906" s="3"/>
      <c r="T906" s="3"/>
      <c r="U906" s="4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r="907" spans="1:47" ht="16.2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4"/>
      <c r="S907" s="3"/>
      <c r="T907" s="3"/>
      <c r="U907" s="4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r="908" spans="1:47" ht="16.2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4"/>
      <c r="S908" s="3"/>
      <c r="T908" s="3"/>
      <c r="U908" s="4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r="909" spans="1:47" ht="16.2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4"/>
      <c r="S909" s="3"/>
      <c r="T909" s="3"/>
      <c r="U909" s="4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r="910" spans="1:47" ht="16.2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4"/>
      <c r="S910" s="3"/>
      <c r="T910" s="3"/>
      <c r="U910" s="4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r="911" spans="1:47" ht="16.2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4"/>
      <c r="S911" s="3"/>
      <c r="T911" s="3"/>
      <c r="U911" s="4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r="912" spans="1:47" ht="16.2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4"/>
      <c r="S912" s="3"/>
      <c r="T912" s="3"/>
      <c r="U912" s="4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r="913" spans="1:47" ht="16.2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4"/>
      <c r="S913" s="3"/>
      <c r="T913" s="3"/>
      <c r="U913" s="4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r="914" spans="1:47" ht="16.2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4"/>
      <c r="S914" s="3"/>
      <c r="T914" s="3"/>
      <c r="U914" s="4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r="915" spans="1:47" ht="16.2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4"/>
      <c r="S915" s="3"/>
      <c r="T915" s="3"/>
      <c r="U915" s="4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r="916" spans="1:47" ht="16.2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4"/>
      <c r="S916" s="3"/>
      <c r="T916" s="3"/>
      <c r="U916" s="4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r="917" spans="1:47" ht="16.2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4"/>
      <c r="S917" s="3"/>
      <c r="T917" s="3"/>
      <c r="U917" s="4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r="918" spans="1:47" ht="16.2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4"/>
      <c r="S918" s="3"/>
      <c r="T918" s="3"/>
      <c r="U918" s="4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r="919" spans="1:47" ht="16.2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4"/>
      <c r="S919" s="3"/>
      <c r="T919" s="3"/>
      <c r="U919" s="4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r="920" spans="1:47" ht="16.2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4"/>
      <c r="S920" s="3"/>
      <c r="T920" s="3"/>
      <c r="U920" s="4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r="921" spans="1:47" ht="16.2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4"/>
      <c r="S921" s="3"/>
      <c r="T921" s="3"/>
      <c r="U921" s="4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r="922" spans="1:47" ht="16.2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4"/>
      <c r="S922" s="3"/>
      <c r="T922" s="3"/>
      <c r="U922" s="4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r="923" spans="1:47" ht="16.2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4"/>
      <c r="S923" s="3"/>
      <c r="T923" s="3"/>
      <c r="U923" s="4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r="924" spans="1:47" ht="16.2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4"/>
      <c r="S924" s="3"/>
      <c r="T924" s="3"/>
      <c r="U924" s="4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r="925" spans="1:47" ht="16.2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4"/>
      <c r="S925" s="3"/>
      <c r="T925" s="3"/>
      <c r="U925" s="4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r="926" spans="1:47" ht="16.2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4"/>
      <c r="S926" s="3"/>
      <c r="T926" s="3"/>
      <c r="U926" s="4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r="927" spans="1:47" ht="16.2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4"/>
      <c r="S927" s="3"/>
      <c r="T927" s="3"/>
      <c r="U927" s="4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r="928" spans="1:47" ht="16.2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4"/>
      <c r="S928" s="3"/>
      <c r="T928" s="3"/>
      <c r="U928" s="4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r="929" spans="1:47" ht="16.2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4"/>
      <c r="S929" s="3"/>
      <c r="T929" s="3"/>
      <c r="U929" s="4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r="930" spans="1:47" ht="16.2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4"/>
      <c r="S930" s="3"/>
      <c r="T930" s="3"/>
      <c r="U930" s="4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r="931" spans="1:47" ht="16.2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4"/>
      <c r="S931" s="3"/>
      <c r="T931" s="3"/>
      <c r="U931" s="4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r="932" spans="1:47" ht="16.2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4"/>
      <c r="S932" s="3"/>
      <c r="T932" s="3"/>
      <c r="U932" s="4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r="933" spans="1:47" ht="16.2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4"/>
      <c r="S933" s="3"/>
      <c r="T933" s="3"/>
      <c r="U933" s="4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r="934" spans="1:47" ht="16.2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4"/>
      <c r="S934" s="3"/>
      <c r="T934" s="3"/>
      <c r="U934" s="4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r="935" spans="1:47" ht="16.2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4"/>
      <c r="S935" s="3"/>
      <c r="T935" s="3"/>
      <c r="U935" s="4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r="936" spans="1:47" ht="16.2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4"/>
      <c r="S936" s="3"/>
      <c r="T936" s="3"/>
      <c r="U936" s="4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r="937" spans="1:47" ht="16.2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4"/>
      <c r="S937" s="3"/>
      <c r="T937" s="3"/>
      <c r="U937" s="4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r="938" spans="1:47" ht="16.2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4"/>
      <c r="S938" s="3"/>
      <c r="T938" s="3"/>
      <c r="U938" s="4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r="939" spans="1:47" ht="16.2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4"/>
      <c r="S939" s="3"/>
      <c r="T939" s="3"/>
      <c r="U939" s="4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r="940" spans="1:47" ht="16.2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4"/>
      <c r="S940" s="3"/>
      <c r="T940" s="3"/>
      <c r="U940" s="4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r="941" spans="1:47" ht="16.2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4"/>
      <c r="S941" s="3"/>
      <c r="T941" s="3"/>
      <c r="U941" s="4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r="942" spans="1:47" ht="16.2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4"/>
      <c r="S942" s="3"/>
      <c r="T942" s="3"/>
      <c r="U942" s="4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r="943" spans="1:47" ht="16.2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4"/>
      <c r="S943" s="3"/>
      <c r="T943" s="3"/>
      <c r="U943" s="4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r="944" spans="1:47" ht="16.2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4"/>
      <c r="S944" s="3"/>
      <c r="T944" s="3"/>
      <c r="U944" s="4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r="945" spans="1:47" ht="16.2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4"/>
      <c r="S945" s="3"/>
      <c r="T945" s="3"/>
      <c r="U945" s="4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r="946" spans="1:47" ht="16.2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4"/>
      <c r="S946" s="3"/>
      <c r="T946" s="3"/>
      <c r="U946" s="4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r="947" spans="1:47" ht="16.2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4"/>
      <c r="S947" s="3"/>
      <c r="T947" s="3"/>
      <c r="U947" s="4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r="948" spans="1:47" ht="16.2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4"/>
      <c r="S948" s="3"/>
      <c r="T948" s="3"/>
      <c r="U948" s="4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r="949" spans="1:47" ht="16.2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4"/>
      <c r="S949" s="3"/>
      <c r="T949" s="3"/>
      <c r="U949" s="4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r="950" spans="1:47" ht="16.2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4"/>
      <c r="S950" s="3"/>
      <c r="T950" s="3"/>
      <c r="U950" s="4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r="951" spans="1:47" ht="16.2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4"/>
      <c r="S951" s="3"/>
      <c r="T951" s="3"/>
      <c r="U951" s="4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r="952" spans="1:47" ht="16.2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4"/>
      <c r="S952" s="3"/>
      <c r="T952" s="3"/>
      <c r="U952" s="4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r="953" spans="1:47" ht="16.2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4"/>
      <c r="S953" s="3"/>
      <c r="T953" s="3"/>
      <c r="U953" s="4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r="954" spans="1:47" ht="16.2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4"/>
      <c r="S954" s="3"/>
      <c r="T954" s="3"/>
      <c r="U954" s="4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r="955" spans="1:47" ht="16.2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4"/>
      <c r="S955" s="3"/>
      <c r="T955" s="3"/>
      <c r="U955" s="4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r="956" spans="1:47" ht="16.2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4"/>
      <c r="S956" s="3"/>
      <c r="T956" s="3"/>
      <c r="U956" s="4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r="957" spans="1:47" ht="16.2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4"/>
      <c r="S957" s="3"/>
      <c r="T957" s="3"/>
      <c r="U957" s="4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r="958" spans="1:47" ht="16.2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4"/>
      <c r="S958" s="3"/>
      <c r="T958" s="3"/>
      <c r="U958" s="4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r="959" spans="1:47" ht="16.2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4"/>
      <c r="S959" s="3"/>
      <c r="T959" s="3"/>
      <c r="U959" s="4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r="960" spans="1:47" ht="16.2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4"/>
      <c r="S960" s="3"/>
      <c r="T960" s="3"/>
      <c r="U960" s="4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r="961" spans="1:47" ht="16.2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4"/>
      <c r="S961" s="3"/>
      <c r="T961" s="3"/>
      <c r="U961" s="4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r="962" spans="1:47" ht="16.2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4"/>
      <c r="S962" s="3"/>
      <c r="T962" s="3"/>
      <c r="U962" s="4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r="963" spans="1:47" ht="16.2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4"/>
      <c r="S963" s="3"/>
      <c r="T963" s="3"/>
      <c r="U963" s="4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r="964" spans="1:47" ht="16.2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4"/>
      <c r="S964" s="3"/>
      <c r="T964" s="3"/>
      <c r="U964" s="4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r="965" spans="1:47" ht="16.2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4"/>
      <c r="S965" s="3"/>
      <c r="T965" s="3"/>
      <c r="U965" s="4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r="966" spans="1:47" ht="16.2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4"/>
      <c r="S966" s="3"/>
      <c r="T966" s="3"/>
      <c r="U966" s="4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  <row r="967" spans="1:47" ht="16.2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4"/>
      <c r="S967" s="3"/>
      <c r="T967" s="3"/>
      <c r="U967" s="4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</row>
    <row r="968" spans="1:47" ht="16.2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4"/>
      <c r="S968" s="3"/>
      <c r="T968" s="3"/>
      <c r="U968" s="4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</row>
    <row r="969" spans="1:47" ht="16.2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4"/>
      <c r="S969" s="3"/>
      <c r="T969" s="3"/>
      <c r="U969" s="4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</row>
    <row r="970" spans="1:47" ht="16.2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4"/>
      <c r="S970" s="3"/>
      <c r="T970" s="3"/>
      <c r="U970" s="4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</row>
    <row r="971" spans="1:47" ht="16.2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4"/>
      <c r="S971" s="3"/>
      <c r="T971" s="3"/>
      <c r="U971" s="4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</row>
    <row r="972" spans="1:47" ht="16.2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4"/>
      <c r="S972" s="3"/>
      <c r="T972" s="3"/>
      <c r="U972" s="4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</row>
    <row r="973" spans="1:47" ht="16.2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4"/>
      <c r="S973" s="3"/>
      <c r="T973" s="3"/>
      <c r="U973" s="4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</row>
    <row r="974" spans="1:47" ht="16.2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4"/>
      <c r="S974" s="3"/>
      <c r="T974" s="3"/>
      <c r="U974" s="4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</row>
    <row r="975" spans="1:47" ht="16.2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4"/>
      <c r="S975" s="3"/>
      <c r="T975" s="3"/>
      <c r="U975" s="4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</row>
    <row r="976" spans="1:47" ht="16.2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4"/>
      <c r="S976" s="3"/>
      <c r="T976" s="3"/>
      <c r="U976" s="4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</row>
    <row r="977" spans="1:47" ht="16.2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4"/>
      <c r="S977" s="3"/>
      <c r="T977" s="3"/>
      <c r="U977" s="4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</row>
    <row r="978" spans="1:47" ht="16.2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4"/>
      <c r="S978" s="3"/>
      <c r="T978" s="3"/>
      <c r="U978" s="4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</row>
    <row r="979" spans="1:47" ht="16.2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4"/>
      <c r="S979" s="3"/>
      <c r="T979" s="3"/>
      <c r="U979" s="4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</row>
    <row r="980" spans="1:47" ht="16.2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4"/>
      <c r="S980" s="3"/>
      <c r="T980" s="3"/>
      <c r="U980" s="4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</row>
    <row r="981" spans="1:47" ht="16.2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4"/>
      <c r="S981" s="3"/>
      <c r="T981" s="3"/>
      <c r="U981" s="4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</row>
    <row r="982" spans="1:47" ht="16.2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4"/>
      <c r="S982" s="3"/>
      <c r="T982" s="3"/>
      <c r="U982" s="4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</row>
    <row r="983" spans="1:47" ht="16.2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4"/>
      <c r="S983" s="3"/>
      <c r="T983" s="3"/>
      <c r="U983" s="4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</row>
    <row r="984" spans="1:47" ht="16.2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4"/>
      <c r="S984" s="3"/>
      <c r="T984" s="3"/>
      <c r="U984" s="4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</row>
    <row r="985" spans="1:47" ht="16.2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4"/>
      <c r="S985" s="3"/>
      <c r="T985" s="3"/>
      <c r="U985" s="4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</row>
    <row r="986" spans="1:47" ht="16.2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4"/>
      <c r="S986" s="3"/>
      <c r="T986" s="3"/>
      <c r="U986" s="4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</row>
    <row r="987" spans="1:47" ht="16.2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4"/>
      <c r="S987" s="3"/>
      <c r="T987" s="3"/>
      <c r="U987" s="4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</row>
    <row r="988" spans="1:47" ht="16.2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4"/>
      <c r="S988" s="3"/>
      <c r="T988" s="3"/>
      <c r="U988" s="4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</row>
    <row r="989" spans="1:47" ht="16.2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4"/>
      <c r="S989" s="3"/>
      <c r="T989" s="3"/>
      <c r="U989" s="4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</row>
    <row r="990" spans="1:47" ht="16.2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4"/>
      <c r="S990" s="3"/>
      <c r="T990" s="3"/>
      <c r="U990" s="4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</row>
    <row r="991" spans="1:47" ht="16.2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4"/>
      <c r="S991" s="3"/>
      <c r="T991" s="3"/>
      <c r="U991" s="4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</row>
    <row r="992" spans="1:47" ht="16.2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4"/>
      <c r="S992" s="3"/>
      <c r="T992" s="3"/>
      <c r="U992" s="4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</row>
    <row r="993" spans="1:47" ht="16.2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4"/>
      <c r="S993" s="3"/>
      <c r="T993" s="3"/>
      <c r="U993" s="4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</row>
    <row r="994" spans="1:47" ht="16.2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4"/>
      <c r="S994" s="3"/>
      <c r="T994" s="3"/>
      <c r="U994" s="4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</row>
    <row r="995" spans="1:47" ht="16.2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4"/>
      <c r="S995" s="3"/>
      <c r="T995" s="3"/>
      <c r="U995" s="4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</row>
    <row r="996" spans="1:47" ht="16.2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4"/>
      <c r="S996" s="3"/>
      <c r="T996" s="3"/>
      <c r="U996" s="4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</row>
    <row r="997" spans="1:47" ht="16.2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4"/>
      <c r="S997" s="3"/>
      <c r="T997" s="3"/>
      <c r="U997" s="4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</row>
    <row r="998" spans="1:47" ht="16.2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4"/>
      <c r="S998" s="3"/>
      <c r="T998" s="3"/>
      <c r="U998" s="4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</row>
    <row r="999" spans="1:47" ht="16.2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4"/>
      <c r="S999" s="3"/>
      <c r="T999" s="3"/>
      <c r="U999" s="4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</row>
    <row r="1000" spans="1:47" ht="16.2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4"/>
      <c r="S1000" s="3"/>
      <c r="T1000" s="3"/>
      <c r="U1000" s="4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</row>
    <row r="1001" spans="1:47" ht="16.2">
      <c r="A1001" s="2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4"/>
      <c r="S1001" s="3"/>
      <c r="T1001" s="3"/>
      <c r="U1001" s="4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</row>
    <row r="1002" spans="1:47" ht="16.2">
      <c r="A1002" s="2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4"/>
      <c r="S1002" s="3"/>
      <c r="T1002" s="3"/>
      <c r="U1002" s="4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</row>
    <row r="1003" spans="1:47" ht="16.2">
      <c r="A1003" s="2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4"/>
      <c r="S1003" s="3"/>
      <c r="T1003" s="3"/>
      <c r="U1003" s="4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</row>
    <row r="1004" spans="1:47" ht="16.2">
      <c r="A1004" s="2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4"/>
      <c r="S1004" s="3"/>
      <c r="T1004" s="3"/>
      <c r="U1004" s="4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</row>
    <row r="1005" spans="1:47" ht="16.2">
      <c r="A1005" s="2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4"/>
      <c r="S1005" s="3"/>
      <c r="T1005" s="3"/>
      <c r="U1005" s="4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</row>
    <row r="1006" spans="1:47" ht="16.2">
      <c r="A1006" s="2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4"/>
      <c r="S1006" s="3"/>
      <c r="T1006" s="3"/>
      <c r="U1006" s="4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</row>
    <row r="1007" spans="1:47" ht="16.2">
      <c r="A1007" s="2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4"/>
      <c r="S1007" s="3"/>
      <c r="T1007" s="3"/>
      <c r="U1007" s="4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</row>
    <row r="1008" spans="1:47" ht="16.2">
      <c r="A1008" s="2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4"/>
      <c r="S1008" s="3"/>
      <c r="T1008" s="3"/>
      <c r="U1008" s="4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</row>
    <row r="1009" spans="1:47" ht="16.2">
      <c r="A1009" s="2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4"/>
      <c r="S1009" s="3"/>
      <c r="T1009" s="3"/>
      <c r="U1009" s="4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</row>
  </sheetData>
  <autoFilter ref="A3:N37" xr:uid="{00000000-0009-0000-0000-000001000000}">
    <sortState xmlns:xlrd2="http://schemas.microsoft.com/office/spreadsheetml/2017/richdata2" ref="A3:N37">
      <sortCondition ref="F3:F37"/>
    </sortState>
  </autoFilter>
  <mergeCells count="9">
    <mergeCell ref="S2:S3"/>
    <mergeCell ref="T2:T3"/>
    <mergeCell ref="U2:U3"/>
    <mergeCell ref="C2:E2"/>
    <mergeCell ref="G2:N2"/>
    <mergeCell ref="O2:O3"/>
    <mergeCell ref="P2:P3"/>
    <mergeCell ref="Q2:Q3"/>
    <mergeCell ref="R2:R3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F644-5F18-40CF-978F-43C2911A84C8}">
  <sheetPr>
    <outlinePr summaryBelow="0" summaryRight="0"/>
  </sheetPr>
  <dimension ref="A2:Z17"/>
  <sheetViews>
    <sheetView topLeftCell="A18" workbookViewId="0"/>
  </sheetViews>
  <sheetFormatPr defaultColWidth="14.44140625" defaultRowHeight="15" customHeight="1"/>
  <cols>
    <col min="1" max="1" width="3.77734375" style="5" customWidth="1"/>
    <col min="2" max="2" width="59" style="5" customWidth="1"/>
    <col min="3" max="3" width="44.5546875" style="5" customWidth="1"/>
    <col min="4" max="4" width="13.44140625" style="5" customWidth="1"/>
    <col min="5" max="5" width="9.44140625" style="5" customWidth="1"/>
    <col min="6" max="6" width="11.109375" style="5" customWidth="1"/>
    <col min="7" max="7" width="13.44140625" style="5" customWidth="1"/>
    <col min="8" max="11" width="10.5546875" style="5" customWidth="1"/>
    <col min="12" max="16384" width="14.44140625" style="5"/>
  </cols>
  <sheetData>
    <row r="2" spans="1:26">
      <c r="A2" s="174" t="s">
        <v>0</v>
      </c>
      <c r="B2" s="174" t="s">
        <v>1</v>
      </c>
      <c r="C2" s="174" t="s">
        <v>3</v>
      </c>
      <c r="D2" s="175" t="s">
        <v>4</v>
      </c>
      <c r="E2" s="171"/>
      <c r="F2" s="171"/>
      <c r="G2" s="171"/>
      <c r="H2" s="171"/>
      <c r="I2" s="171"/>
      <c r="J2" s="171"/>
      <c r="K2" s="172"/>
    </row>
    <row r="3" spans="1:26">
      <c r="A3" s="169"/>
      <c r="B3" s="169"/>
      <c r="C3" s="169"/>
      <c r="D3" s="162" t="s">
        <v>15</v>
      </c>
      <c r="E3" s="162" t="s">
        <v>16</v>
      </c>
      <c r="F3" s="162" t="s">
        <v>17</v>
      </c>
      <c r="G3" s="162" t="s">
        <v>18</v>
      </c>
      <c r="H3" s="162" t="s">
        <v>19</v>
      </c>
      <c r="I3" s="162" t="s">
        <v>20</v>
      </c>
      <c r="J3" s="162" t="s">
        <v>21</v>
      </c>
      <c r="K3" s="162" t="s">
        <v>22</v>
      </c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</row>
    <row r="4" spans="1:26">
      <c r="A4" s="164">
        <v>1</v>
      </c>
      <c r="B4" s="165" t="s">
        <v>205</v>
      </c>
      <c r="C4" s="165" t="s">
        <v>27</v>
      </c>
      <c r="D4" s="166" t="s">
        <v>128</v>
      </c>
      <c r="E4" s="166" t="s">
        <v>206</v>
      </c>
      <c r="F4" s="166" t="s">
        <v>29</v>
      </c>
      <c r="G4" s="166" t="s">
        <v>129</v>
      </c>
      <c r="H4" s="166" t="s">
        <v>207</v>
      </c>
      <c r="I4" s="166" t="s">
        <v>208</v>
      </c>
      <c r="J4" s="166" t="s">
        <v>209</v>
      </c>
      <c r="K4" s="166" t="s">
        <v>206</v>
      </c>
    </row>
    <row r="5" spans="1:26">
      <c r="A5" s="165">
        <f t="shared" ref="A5:A8" si="0">A4+1</f>
        <v>2</v>
      </c>
      <c r="B5" s="165" t="s">
        <v>210</v>
      </c>
      <c r="C5" s="165" t="s">
        <v>27</v>
      </c>
      <c r="D5" s="166" t="s">
        <v>128</v>
      </c>
      <c r="E5" s="166" t="s">
        <v>206</v>
      </c>
      <c r="F5" s="166" t="s">
        <v>206</v>
      </c>
      <c r="G5" s="166" t="s">
        <v>129</v>
      </c>
      <c r="H5" s="166" t="s">
        <v>207</v>
      </c>
      <c r="I5" s="166" t="s">
        <v>211</v>
      </c>
      <c r="J5" s="166" t="s">
        <v>212</v>
      </c>
      <c r="K5" s="166" t="s">
        <v>206</v>
      </c>
    </row>
    <row r="6" spans="1:26">
      <c r="A6" s="165">
        <f t="shared" si="0"/>
        <v>3</v>
      </c>
      <c r="B6" s="165" t="s">
        <v>213</v>
      </c>
      <c r="C6" s="165" t="s">
        <v>27</v>
      </c>
      <c r="D6" s="166" t="s">
        <v>128</v>
      </c>
      <c r="E6" s="166" t="s">
        <v>206</v>
      </c>
      <c r="F6" s="166" t="s">
        <v>206</v>
      </c>
      <c r="G6" s="166" t="s">
        <v>129</v>
      </c>
      <c r="H6" s="166" t="s">
        <v>209</v>
      </c>
      <c r="I6" s="166" t="s">
        <v>211</v>
      </c>
      <c r="J6" s="166" t="s">
        <v>212</v>
      </c>
      <c r="K6" s="166" t="s">
        <v>206</v>
      </c>
    </row>
    <row r="7" spans="1:26">
      <c r="A7" s="165">
        <f t="shared" si="0"/>
        <v>4</v>
      </c>
      <c r="B7" s="165" t="s">
        <v>214</v>
      </c>
      <c r="C7" s="165" t="s">
        <v>27</v>
      </c>
      <c r="D7" s="166" t="s">
        <v>128</v>
      </c>
      <c r="E7" s="166" t="s">
        <v>206</v>
      </c>
      <c r="F7" s="166" t="s">
        <v>206</v>
      </c>
      <c r="G7" s="166" t="s">
        <v>129</v>
      </c>
      <c r="H7" s="166" t="s">
        <v>208</v>
      </c>
      <c r="I7" s="166" t="s">
        <v>207</v>
      </c>
      <c r="J7" s="166" t="s">
        <v>215</v>
      </c>
      <c r="K7" s="166" t="s">
        <v>206</v>
      </c>
    </row>
    <row r="8" spans="1:26">
      <c r="A8" s="165">
        <f t="shared" si="0"/>
        <v>5</v>
      </c>
      <c r="B8" s="165" t="s">
        <v>216</v>
      </c>
      <c r="C8" s="165" t="s">
        <v>43</v>
      </c>
      <c r="D8" s="166" t="s">
        <v>128</v>
      </c>
      <c r="E8" s="166" t="s">
        <v>206</v>
      </c>
      <c r="F8" s="166" t="s">
        <v>29</v>
      </c>
      <c r="G8" s="166" t="s">
        <v>129</v>
      </c>
      <c r="H8" s="166" t="s">
        <v>211</v>
      </c>
      <c r="I8" s="166" t="s">
        <v>209</v>
      </c>
      <c r="J8" s="166" t="s">
        <v>208</v>
      </c>
      <c r="K8" s="166" t="s">
        <v>206</v>
      </c>
    </row>
    <row r="9" spans="1:26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</row>
    <row r="10" spans="1:26">
      <c r="A10" s="176"/>
      <c r="B10" s="177"/>
      <c r="E10" s="167"/>
      <c r="F10" s="167"/>
      <c r="G10" s="167"/>
      <c r="H10" s="167"/>
      <c r="I10" s="167"/>
      <c r="J10" s="167"/>
      <c r="K10" s="167"/>
    </row>
    <row r="11" spans="1:26">
      <c r="B11" s="167" t="s">
        <v>129</v>
      </c>
      <c r="C11" s="167" t="s">
        <v>217</v>
      </c>
      <c r="E11" s="167"/>
      <c r="F11" s="167"/>
      <c r="G11" s="167"/>
      <c r="H11" s="167"/>
      <c r="I11" s="167"/>
      <c r="J11" s="167"/>
      <c r="K11" s="167"/>
    </row>
    <row r="12" spans="1:26">
      <c r="B12" s="167" t="s">
        <v>207</v>
      </c>
      <c r="C12" s="167" t="s">
        <v>218</v>
      </c>
      <c r="E12" s="167"/>
      <c r="F12" s="167"/>
      <c r="G12" s="167"/>
      <c r="H12" s="167"/>
      <c r="I12" s="167"/>
      <c r="J12" s="167"/>
      <c r="K12" s="167"/>
    </row>
    <row r="13" spans="1:26">
      <c r="B13" s="167" t="s">
        <v>209</v>
      </c>
      <c r="C13" s="167" t="s">
        <v>219</v>
      </c>
      <c r="E13" s="167"/>
      <c r="F13" s="167"/>
      <c r="G13" s="167"/>
      <c r="H13" s="167"/>
      <c r="I13" s="167"/>
      <c r="J13" s="167"/>
      <c r="K13" s="167"/>
    </row>
    <row r="14" spans="1:26">
      <c r="B14" s="167" t="s">
        <v>208</v>
      </c>
      <c r="C14" s="167" t="s">
        <v>220</v>
      </c>
      <c r="E14" s="167"/>
      <c r="F14" s="167"/>
      <c r="G14" s="167"/>
      <c r="H14" s="167"/>
      <c r="I14" s="167"/>
      <c r="J14" s="167"/>
      <c r="K14" s="167"/>
    </row>
    <row r="15" spans="1:26">
      <c r="B15" s="167" t="s">
        <v>211</v>
      </c>
      <c r="C15" s="167" t="s">
        <v>221</v>
      </c>
      <c r="E15" s="167"/>
      <c r="F15" s="167"/>
      <c r="G15" s="167"/>
      <c r="H15" s="167"/>
      <c r="I15" s="167"/>
      <c r="J15" s="167"/>
      <c r="K15" s="167"/>
    </row>
    <row r="16" spans="1:26">
      <c r="B16" s="167" t="s">
        <v>215</v>
      </c>
      <c r="C16" s="167" t="s">
        <v>222</v>
      </c>
      <c r="E16" s="167"/>
      <c r="F16" s="167"/>
      <c r="G16" s="167"/>
      <c r="H16" s="167"/>
      <c r="I16" s="167"/>
      <c r="J16" s="167"/>
      <c r="K16" s="167"/>
    </row>
    <row r="17" spans="2:11">
      <c r="B17" s="167" t="s">
        <v>212</v>
      </c>
      <c r="C17" s="167" t="s">
        <v>223</v>
      </c>
      <c r="E17" s="167"/>
      <c r="F17" s="167"/>
      <c r="G17" s="167"/>
      <c r="H17" s="167"/>
      <c r="I17" s="167"/>
      <c r="J17" s="167"/>
      <c r="K17" s="167"/>
    </row>
  </sheetData>
  <mergeCells count="5">
    <mergeCell ref="A2:A3"/>
    <mergeCell ref="B2:B3"/>
    <mergeCell ref="C2:C3"/>
    <mergeCell ref="D2:K2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7778-1DDB-4CA8-95A8-ABEB04E1F37F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&amp; Schedule Lt. 2</vt:lpstr>
      <vt:lpstr>Team &amp; Schedule Lt. 3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Dwi Cahyanto</dc:creator>
  <cp:lastModifiedBy>Farhan Lubis</cp:lastModifiedBy>
  <dcterms:created xsi:type="dcterms:W3CDTF">2025-11-19T03:12:52Z</dcterms:created>
  <dcterms:modified xsi:type="dcterms:W3CDTF">2025-11-19T10:18:01Z</dcterms:modified>
</cp:coreProperties>
</file>